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DA JADHAV\OneDrive\Desktop\"/>
    </mc:Choice>
  </mc:AlternateContent>
  <xr:revisionPtr revIDLastSave="0" documentId="13_ncr:1_{E310C95C-8F6B-407B-89C0-757C1F07FE12}" xr6:coauthVersionLast="47" xr6:coauthVersionMax="47" xr10:uidLastSave="{00000000-0000-0000-0000-000000000000}"/>
  <bookViews>
    <workbookView xWindow="-108" yWindow="-108" windowWidth="23256" windowHeight="12456" activeTab="5" xr2:uid="{4F8455F4-57AC-45B7-8699-BDE104DE2702}"/>
  </bookViews>
  <sheets>
    <sheet name="Historical Data" sheetId="1" r:id="rId1"/>
    <sheet name="Assumptions" sheetId="2" r:id="rId2"/>
    <sheet name="Forecast" sheetId="3" r:id="rId3"/>
    <sheet name="WACC" sheetId="5" r:id="rId4"/>
    <sheet name="Valuation" sheetId="6" r:id="rId5"/>
    <sheet name="Sensitivity Analysi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7" l="1"/>
  <c r="I7" i="7" s="1"/>
  <c r="F7" i="7"/>
  <c r="E7" i="7" s="1"/>
  <c r="D11" i="7"/>
  <c r="D12" i="7" s="1"/>
  <c r="D9" i="7"/>
  <c r="D8" i="7" s="1"/>
  <c r="E6" i="3" l="1"/>
  <c r="E26" i="5"/>
  <c r="C49" i="2"/>
  <c r="C20" i="6" l="1"/>
  <c r="B56" i="2"/>
  <c r="A56" i="2"/>
  <c r="C13" i="6"/>
  <c r="C12" i="6"/>
  <c r="C54" i="2"/>
  <c r="C53" i="2"/>
  <c r="C19" i="6"/>
  <c r="B18" i="6"/>
  <c r="C18" i="6"/>
  <c r="D5" i="6"/>
  <c r="E5" i="6"/>
  <c r="F5" i="6"/>
  <c r="G5" i="6"/>
  <c r="C5" i="6"/>
  <c r="D26" i="5"/>
  <c r="E24" i="5"/>
  <c r="B24" i="5"/>
  <c r="A23" i="5"/>
  <c r="E21" i="5"/>
  <c r="E20" i="5"/>
  <c r="E19" i="5"/>
  <c r="B20" i="5"/>
  <c r="B21" i="5"/>
  <c r="B19" i="5"/>
  <c r="A18" i="5"/>
  <c r="E16" i="5"/>
  <c r="G16" i="5"/>
  <c r="E15" i="5"/>
  <c r="E14" i="5"/>
  <c r="B15" i="5"/>
  <c r="B16" i="5"/>
  <c r="B14" i="5"/>
  <c r="A13" i="5"/>
  <c r="E11" i="5"/>
  <c r="D11" i="5"/>
  <c r="E10" i="5"/>
  <c r="E8" i="5"/>
  <c r="E6" i="5"/>
  <c r="E7" i="5"/>
  <c r="E5" i="5"/>
  <c r="B10" i="5"/>
  <c r="B6" i="5"/>
  <c r="B7" i="5"/>
  <c r="B8" i="5"/>
  <c r="B5" i="5"/>
  <c r="F9" i="3"/>
  <c r="F7" i="3"/>
  <c r="F8" i="3"/>
  <c r="F12" i="3" s="1"/>
  <c r="D6" i="6" s="1"/>
  <c r="F10" i="3"/>
  <c r="F11" i="3"/>
  <c r="F6" i="3"/>
  <c r="G6" i="3" s="1"/>
  <c r="E11" i="3"/>
  <c r="E10" i="3"/>
  <c r="E9" i="3"/>
  <c r="K9" i="3"/>
  <c r="K10" i="3"/>
  <c r="E7" i="3"/>
  <c r="E8" i="3" s="1"/>
  <c r="E12" i="3" s="1"/>
  <c r="C6" i="6" s="1"/>
  <c r="K7" i="3"/>
  <c r="K6" i="3"/>
  <c r="K8" i="3"/>
  <c r="K11" i="3"/>
  <c r="L11" i="3"/>
  <c r="C28" i="2"/>
  <c r="C25" i="1"/>
  <c r="D16" i="1"/>
  <c r="E16" i="1"/>
  <c r="F16" i="1"/>
  <c r="G16" i="1"/>
  <c r="H16" i="1"/>
  <c r="I16" i="1"/>
  <c r="C16" i="1"/>
  <c r="C23" i="1"/>
  <c r="C27" i="2" s="1"/>
  <c r="L9" i="3" s="1"/>
  <c r="D14" i="1"/>
  <c r="E14" i="1"/>
  <c r="F14" i="1"/>
  <c r="G14" i="1"/>
  <c r="H14" i="1"/>
  <c r="I14" i="1"/>
  <c r="C14" i="1"/>
  <c r="C24" i="1" s="1"/>
  <c r="C26" i="2" s="1"/>
  <c r="L10" i="3" s="1"/>
  <c r="L8" i="3"/>
  <c r="L7" i="3"/>
  <c r="L6" i="3"/>
  <c r="D12" i="1"/>
  <c r="E12" i="1"/>
  <c r="F12" i="1"/>
  <c r="G12" i="1"/>
  <c r="H12" i="1"/>
  <c r="I12" i="1"/>
  <c r="C12" i="1"/>
  <c r="C45" i="2"/>
  <c r="C46" i="2"/>
  <c r="C7" i="6" l="1"/>
  <c r="C8" i="6" s="1"/>
  <c r="E7" i="6"/>
  <c r="G11" i="3"/>
  <c r="G9" i="3"/>
  <c r="H6" i="3"/>
  <c r="G10" i="3"/>
  <c r="G7" i="3"/>
  <c r="G8" i="3" s="1"/>
  <c r="F7" i="6"/>
  <c r="D7" i="6"/>
  <c r="D8" i="6" s="1"/>
  <c r="G7" i="6"/>
  <c r="C55" i="2"/>
  <c r="C40" i="2"/>
  <c r="C42" i="2" s="1"/>
  <c r="C34" i="2"/>
  <c r="C37" i="2" s="1"/>
  <c r="G12" i="3" l="1"/>
  <c r="E6" i="6" s="1"/>
  <c r="E8" i="6" s="1"/>
  <c r="H11" i="3"/>
  <c r="H9" i="3"/>
  <c r="I6" i="3"/>
  <c r="H10" i="3"/>
  <c r="H7" i="3"/>
  <c r="H8" i="3" s="1"/>
  <c r="H12" i="3" s="1"/>
  <c r="F6" i="6" s="1"/>
  <c r="F8" i="6" s="1"/>
  <c r="D9" i="1"/>
  <c r="E9" i="1"/>
  <c r="F9" i="1"/>
  <c r="G9" i="1"/>
  <c r="H9" i="1"/>
  <c r="I9" i="1"/>
  <c r="C9" i="1"/>
  <c r="I11" i="3" l="1"/>
  <c r="I9" i="3"/>
  <c r="I12" i="3" s="1"/>
  <c r="G6" i="6" s="1"/>
  <c r="H9" i="6" s="1"/>
  <c r="I10" i="3"/>
  <c r="I7" i="3"/>
  <c r="I8" i="3" s="1"/>
  <c r="H10" i="6" l="1"/>
  <c r="G8" i="6"/>
  <c r="C11" i="6" s="1"/>
  <c r="E14" i="6" l="1"/>
  <c r="E15" i="6" s="1"/>
  <c r="D7" i="7" s="1"/>
</calcChain>
</file>

<file path=xl/sharedStrings.xml><?xml version="1.0" encoding="utf-8"?>
<sst xmlns="http://schemas.openxmlformats.org/spreadsheetml/2006/main" count="133" uniqueCount="106">
  <si>
    <t>Revenue</t>
  </si>
  <si>
    <t>EBIT</t>
  </si>
  <si>
    <t>EBIT Margin</t>
  </si>
  <si>
    <t>Net Income</t>
  </si>
  <si>
    <t>Depreciation</t>
  </si>
  <si>
    <t>CapEx</t>
  </si>
  <si>
    <t>Change in Working Capital</t>
  </si>
  <si>
    <t>Cash Flow from Operations (CFO)</t>
  </si>
  <si>
    <t>Total Debt</t>
  </si>
  <si>
    <t>Cash &amp; Cash equivalents</t>
  </si>
  <si>
    <t>Shares Outstanding</t>
  </si>
  <si>
    <t>Year</t>
  </si>
  <si>
    <t>Forecast Horizon</t>
  </si>
  <si>
    <t xml:space="preserve">Historical Years Used:   </t>
  </si>
  <si>
    <t>Projection Period:</t>
  </si>
  <si>
    <t>Valuation Method:</t>
  </si>
  <si>
    <t>Currency:</t>
  </si>
  <si>
    <t>7 Years</t>
  </si>
  <si>
    <t xml:space="preserve">5 Years  </t>
  </si>
  <si>
    <t>FCFF (Free Cash Flow to Firm)</t>
  </si>
  <si>
    <t>INR (₹ Crores)</t>
  </si>
  <si>
    <t>Revenue Growth Assumptions</t>
  </si>
  <si>
    <t>EBIT Margin Assumptions</t>
  </si>
  <si>
    <t>Tax Rate</t>
  </si>
  <si>
    <t>Formula Used:</t>
  </si>
  <si>
    <t>Rationale:</t>
  </si>
  <si>
    <t>Infosys' investing cash flows are almost entirely CapEx (PPE + intangibles).</t>
  </si>
  <si>
    <t>WACC (Weighted Average Cost of Capital)</t>
  </si>
  <si>
    <t>CAPM:</t>
  </si>
  <si>
    <t>Cost of Debt (Rd)</t>
  </si>
  <si>
    <t>Capital Structure</t>
  </si>
  <si>
    <t>Final WACC</t>
  </si>
  <si>
    <t>Terminal Value Assumptions</t>
  </si>
  <si>
    <t>Gordon Growth Method</t>
  </si>
  <si>
    <t>Net Debt Adjustments</t>
  </si>
  <si>
    <t xml:space="preserve">Revenue Growth (Base Case): </t>
  </si>
  <si>
    <t xml:space="preserve">Bull Case: </t>
  </si>
  <si>
    <t xml:space="preserve">Bear Case: </t>
  </si>
  <si>
    <t xml:space="preserve">Rationale: </t>
  </si>
  <si>
    <t>Historically stable operating margin driven by offshore model and cost efficiency.</t>
  </si>
  <si>
    <t xml:space="preserve">EBIT Margin (Base Case): </t>
  </si>
  <si>
    <t>Effective Tax Rate:</t>
  </si>
  <si>
    <t xml:space="preserve">Source: </t>
  </si>
  <si>
    <t>Historical tax expense trend + India corporate tax regime.</t>
  </si>
  <si>
    <t xml:space="preserve">CapEx is approximated using the absolute value of “Net Cash Used in Investing Activities” because Infosys is a low asset-intensive business with minimal M&amp;A activity. </t>
  </si>
  <si>
    <t>CapEx ≈ [Net Cash Used in Investing Activities]</t>
  </si>
  <si>
    <t>Infosys has delivered stable mid-single-digit to high-single-digit growth historically with strong visibility from long-term digital transformation deals.</t>
  </si>
  <si>
    <t xml:space="preserve">Beta (Infosys):  </t>
  </si>
  <si>
    <t xml:space="preserve">Pre-tax Cost of Debt:  </t>
  </si>
  <si>
    <t xml:space="preserve">Tax Rate:   </t>
  </si>
  <si>
    <t>Long-term stable Indian IT growth.</t>
  </si>
  <si>
    <t xml:space="preserve">Terminal Growth (g):   </t>
  </si>
  <si>
    <t xml:space="preserve">Cash &amp; Cash Equivalents: </t>
  </si>
  <si>
    <t xml:space="preserve">Total Debt: </t>
  </si>
  <si>
    <t>Assumptions</t>
  </si>
  <si>
    <t>Cost of Equity (Re) - via CAPM</t>
  </si>
  <si>
    <t xml:space="preserve">Re = Rf + Beta × MRP  </t>
  </si>
  <si>
    <t xml:space="preserve">Risk-Free Rate (India 5Y Bond):  </t>
  </si>
  <si>
    <t>Market Rate of Return (Rm):</t>
  </si>
  <si>
    <t xml:space="preserve">Equity Risk Premium (Rm-Rf): </t>
  </si>
  <si>
    <t xml:space="preserve">Re = </t>
  </si>
  <si>
    <t>After-tax Cost of Debt</t>
  </si>
  <si>
    <t>Rd × (1 – Tax Rate)=</t>
  </si>
  <si>
    <t xml:space="preserve">WACC = </t>
  </si>
  <si>
    <t>Re*Ke + Rd*Kd*(1-tax)</t>
  </si>
  <si>
    <t>Equity Weight (E/V):  (Ke)</t>
  </si>
  <si>
    <t>Debt Weight (D/V):  (Kd)</t>
  </si>
  <si>
    <t>Current D/E ratio:</t>
  </si>
  <si>
    <t xml:space="preserve">Net Debt = Debt – Cash  </t>
  </si>
  <si>
    <t>NOPAT</t>
  </si>
  <si>
    <t>Change in WC</t>
  </si>
  <si>
    <t>FCFF</t>
  </si>
  <si>
    <t>5 Years Forecast</t>
  </si>
  <si>
    <t>Depreciation as % of Revenue</t>
  </si>
  <si>
    <t>CapEx as % of Revenue</t>
  </si>
  <si>
    <t xml:space="preserve">Average Depreciation as % of Revenue </t>
  </si>
  <si>
    <t xml:space="preserve">Average CapEx as % of Revenue </t>
  </si>
  <si>
    <t>CapEx:</t>
  </si>
  <si>
    <t>Based on historical range for Infosys, Average of % of revenue of last 7 years.</t>
  </si>
  <si>
    <t>Δ in WC as % of Revenue</t>
  </si>
  <si>
    <t xml:space="preserve">Average Δ in WC as % of Revenue </t>
  </si>
  <si>
    <t>Depreciation, change in WACC &amp; CapEx</t>
  </si>
  <si>
    <t>Δ in WC:</t>
  </si>
  <si>
    <t>Depreciation:</t>
  </si>
  <si>
    <t>WACC</t>
  </si>
  <si>
    <t>Valuation</t>
  </si>
  <si>
    <t>Terminal</t>
  </si>
  <si>
    <t>Discount Factor</t>
  </si>
  <si>
    <t>PV of FCFF</t>
  </si>
  <si>
    <t>Terminal Value</t>
  </si>
  <si>
    <t>PV of TV</t>
  </si>
  <si>
    <t>Cash</t>
  </si>
  <si>
    <t>Debt</t>
  </si>
  <si>
    <t>Equity Value</t>
  </si>
  <si>
    <t>EV + Cash – Debt</t>
  </si>
  <si>
    <t>Intrinsic Value/share</t>
  </si>
  <si>
    <t>YEARS</t>
  </si>
  <si>
    <t>Terminal Growth (g)</t>
  </si>
  <si>
    <t>-</t>
  </si>
  <si>
    <t>Equity value / (Shares o/s)</t>
  </si>
  <si>
    <t>Enterprise Value (EV)</t>
  </si>
  <si>
    <t>Shares o/s</t>
  </si>
  <si>
    <t>Sensitivity Analysis</t>
  </si>
  <si>
    <t>Growth Rate</t>
  </si>
  <si>
    <t>(Base)</t>
  </si>
  <si>
    <t>INFOSYS- (Historical Returns past 5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</si>
</sst>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0" fontId="0" fillId="0" borderId="1" xfId="2" applyNumberFormat="1" applyFont="1" applyBorder="1"/>
    <xf numFmtId="3" fontId="0" fillId="0" borderId="0" xfId="0" applyNumberFormat="1"/>
    <xf numFmtId="0" fontId="1" fillId="0" borderId="1" xfId="1" applyNumberFormat="1" applyFont="1" applyBorder="1"/>
    <xf numFmtId="10" fontId="1" fillId="0" borderId="1" xfId="2" applyNumberFormat="1" applyFont="1" applyBorder="1"/>
    <xf numFmtId="43" fontId="0" fillId="0" borderId="1" xfId="1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left" indent="2"/>
    </xf>
    <xf numFmtId="0" fontId="0" fillId="0" borderId="3" xfId="0" applyBorder="1" applyAlignment="1">
      <alignment horizontal="left" indent="2"/>
    </xf>
    <xf numFmtId="10" fontId="0" fillId="0" borderId="0" xfId="0" applyNumberFormat="1" applyAlignment="1">
      <alignment vertical="center"/>
    </xf>
    <xf numFmtId="0" fontId="5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10" fontId="2" fillId="0" borderId="2" xfId="0" applyNumberFormat="1" applyFont="1" applyBorder="1"/>
    <xf numFmtId="165" fontId="0" fillId="0" borderId="0" xfId="0" applyNumberFormat="1"/>
    <xf numFmtId="10" fontId="2" fillId="0" borderId="10" xfId="2" applyNumberFormat="1" applyFont="1" applyBorder="1"/>
    <xf numFmtId="0" fontId="2" fillId="0" borderId="1" xfId="0" applyFont="1" applyBorder="1" applyAlignment="1">
      <alignment vertical="center"/>
    </xf>
    <xf numFmtId="10" fontId="2" fillId="0" borderId="6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4" fontId="3" fillId="0" borderId="3" xfId="0" applyNumberFormat="1" applyFont="1" applyBorder="1"/>
    <xf numFmtId="4" fontId="3" fillId="0" borderId="4" xfId="0" applyNumberFormat="1" applyFont="1" applyBorder="1"/>
    <xf numFmtId="4" fontId="3" fillId="0" borderId="5" xfId="0" applyNumberFormat="1" applyFont="1" applyBorder="1"/>
    <xf numFmtId="4" fontId="2" fillId="0" borderId="1" xfId="0" applyNumberFormat="1" applyFont="1" applyBorder="1"/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9" fontId="0" fillId="0" borderId="1" xfId="2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164" fontId="0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10" fontId="0" fillId="0" borderId="3" xfId="2" applyNumberFormat="1" applyFont="1" applyBorder="1" applyAlignment="1">
      <alignment horizontal="left"/>
    </xf>
    <xf numFmtId="10" fontId="0" fillId="0" borderId="4" xfId="2" applyNumberFormat="1" applyFont="1" applyBorder="1" applyAlignment="1">
      <alignment horizontal="left"/>
    </xf>
    <xf numFmtId="10" fontId="0" fillId="0" borderId="5" xfId="2" applyNumberFormat="1" applyFont="1" applyBorder="1" applyAlignment="1">
      <alignment horizontal="left"/>
    </xf>
    <xf numFmtId="10" fontId="0" fillId="0" borderId="3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3" xfId="0" applyNumberFormat="1" applyBorder="1" applyAlignment="1">
      <alignment horizontal="left"/>
    </xf>
    <xf numFmtId="10" fontId="0" fillId="0" borderId="4" xfId="0" applyNumberFormat="1" applyBorder="1" applyAlignment="1">
      <alignment horizontal="left"/>
    </xf>
    <xf numFmtId="10" fontId="0" fillId="0" borderId="5" xfId="0" applyNumberFormat="1" applyBorder="1" applyAlignment="1">
      <alignment horizontal="left"/>
    </xf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left"/>
    </xf>
    <xf numFmtId="2" fontId="2" fillId="0" borderId="3" xfId="0" applyNumberFormat="1" applyFont="1" applyBorder="1" applyAlignment="1">
      <alignment horizontal="right" vertical="center" wrapText="1"/>
    </xf>
    <xf numFmtId="2" fontId="2" fillId="0" borderId="4" xfId="0" applyNumberFormat="1" applyFont="1" applyBorder="1" applyAlignment="1">
      <alignment horizontal="right" vertical="center" wrapText="1"/>
    </xf>
    <xf numFmtId="2" fontId="2" fillId="0" borderId="5" xfId="0" applyNumberFormat="1" applyFont="1" applyBorder="1" applyAlignment="1">
      <alignment horizontal="right" vertical="center" wrapText="1"/>
    </xf>
    <xf numFmtId="2" fontId="0" fillId="0" borderId="3" xfId="0" applyNumberFormat="1" applyBorder="1" applyAlignment="1">
      <alignment horizontal="right" vertical="center" wrapText="1"/>
    </xf>
    <xf numFmtId="2" fontId="0" fillId="0" borderId="4" xfId="0" applyNumberFormat="1" applyBorder="1" applyAlignment="1">
      <alignment horizontal="right" vertical="center" wrapText="1"/>
    </xf>
    <xf numFmtId="2" fontId="0" fillId="0" borderId="5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 wrapText="1"/>
    </xf>
    <xf numFmtId="165" fontId="0" fillId="0" borderId="0" xfId="2" applyNumberFormat="1" applyFont="1"/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8" xfId="0" applyBorder="1"/>
    <xf numFmtId="10" fontId="0" fillId="0" borderId="17" xfId="0" applyNumberFormat="1" applyBorder="1" applyAlignment="1">
      <alignment vertical="center"/>
    </xf>
    <xf numFmtId="10" fontId="0" fillId="0" borderId="20" xfId="0" applyNumberFormat="1" applyBorder="1" applyAlignment="1">
      <alignment vertical="center"/>
    </xf>
    <xf numFmtId="0" fontId="0" fillId="0" borderId="20" xfId="0" applyBorder="1"/>
    <xf numFmtId="0" fontId="0" fillId="0" borderId="19" xfId="0" applyBorder="1"/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 wrapText="1"/>
    </xf>
    <xf numFmtId="10" fontId="2" fillId="0" borderId="22" xfId="0" applyNumberFormat="1" applyFont="1" applyBorder="1" applyAlignment="1">
      <alignment horizontal="center" vertical="center" wrapText="1"/>
    </xf>
    <xf numFmtId="10" fontId="2" fillId="0" borderId="23" xfId="0" applyNumberFormat="1" applyFont="1" applyBorder="1" applyAlignment="1">
      <alignment horizontal="center" vertical="center" wrapText="1"/>
    </xf>
    <xf numFmtId="2" fontId="0" fillId="0" borderId="22" xfId="0" applyNumberFormat="1" applyBorder="1" applyAlignment="1">
      <alignment horizontal="right" vertical="center" wrapText="1"/>
    </xf>
    <xf numFmtId="2" fontId="0" fillId="0" borderId="23" xfId="0" applyNumberFormat="1" applyBorder="1" applyAlignment="1">
      <alignment horizontal="right" vertical="center" wrapText="1"/>
    </xf>
    <xf numFmtId="2" fontId="0" fillId="0" borderId="25" xfId="0" applyNumberFormat="1" applyBorder="1" applyAlignment="1">
      <alignment horizontal="right" vertical="center" wrapText="1"/>
    </xf>
    <xf numFmtId="2" fontId="0" fillId="0" borderId="26" xfId="0" applyNumberFormat="1" applyBorder="1" applyAlignment="1">
      <alignment horizontal="right" vertical="center" wrapText="1"/>
    </xf>
    <xf numFmtId="2" fontId="0" fillId="0" borderId="13" xfId="0" applyNumberFormat="1" applyBorder="1"/>
    <xf numFmtId="10" fontId="0" fillId="0" borderId="0" xfId="0" applyNumberFormat="1" applyBorder="1" applyAlignment="1">
      <alignment vertical="center"/>
    </xf>
    <xf numFmtId="10" fontId="2" fillId="0" borderId="27" xfId="0" applyNumberFormat="1" applyFont="1" applyBorder="1" applyAlignment="1">
      <alignment horizontal="right" vertical="center" wrapText="1"/>
    </xf>
    <xf numFmtId="0" fontId="0" fillId="0" borderId="13" xfId="0" applyBorder="1"/>
    <xf numFmtId="0" fontId="0" fillId="0" borderId="17" xfId="0" applyBorder="1" applyAlignment="1">
      <alignment vertical="center"/>
    </xf>
    <xf numFmtId="2" fontId="2" fillId="2" borderId="22" xfId="0" applyNumberFormat="1" applyFont="1" applyFill="1" applyBorder="1" applyAlignment="1">
      <alignment horizontal="right" vertical="center" wrapText="1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10" fontId="2" fillId="0" borderId="24" xfId="0" applyNumberFormat="1" applyFont="1" applyBorder="1"/>
    <xf numFmtId="10" fontId="2" fillId="0" borderId="25" xfId="2" applyNumberFormat="1" applyFont="1" applyBorder="1"/>
    <xf numFmtId="10" fontId="2" fillId="0" borderId="25" xfId="0" applyNumberFormat="1" applyFont="1" applyBorder="1"/>
    <xf numFmtId="10" fontId="2" fillId="0" borderId="26" xfId="0" applyNumberFormat="1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2" fontId="0" fillId="0" borderId="22" xfId="0" applyNumberFormat="1" applyBorder="1"/>
    <xf numFmtId="2" fontId="0" fillId="0" borderId="23" xfId="0" applyNumberFormat="1" applyBorder="1"/>
    <xf numFmtId="2" fontId="0" fillId="0" borderId="4" xfId="0" applyNumberFormat="1" applyBorder="1"/>
    <xf numFmtId="2" fontId="0" fillId="0" borderId="31" xfId="0" applyNumberFormat="1" applyBorder="1"/>
    <xf numFmtId="2" fontId="0" fillId="0" borderId="27" xfId="0" applyNumberFormat="1" applyBorder="1"/>
    <xf numFmtId="2" fontId="0" fillId="0" borderId="11" xfId="0" applyNumberFormat="1" applyBorder="1"/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2" fontId="0" fillId="4" borderId="22" xfId="0" applyNumberFormat="1" applyFill="1" applyBorder="1" applyAlignment="1">
      <alignment horizontal="righ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3BC9-1526-42B5-8D0B-E0768927FC2B}">
  <dimension ref="A1:Q25"/>
  <sheetViews>
    <sheetView showGridLines="0" workbookViewId="0">
      <selection sqref="A1:Q3"/>
    </sheetView>
  </sheetViews>
  <sheetFormatPr defaultRowHeight="14.4" x14ac:dyDescent="0.3"/>
  <cols>
    <col min="2" max="2" width="33.21875" bestFit="1" customWidth="1"/>
    <col min="3" max="3" width="9.88671875" bestFit="1" customWidth="1"/>
    <col min="9" max="9" width="9.44140625" customWidth="1"/>
    <col min="11" max="11" width="33.21875" bestFit="1" customWidth="1"/>
  </cols>
  <sheetData>
    <row r="1" spans="1:17" x14ac:dyDescent="0.3">
      <c r="A1" s="105" t="s">
        <v>105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3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6" spans="1:17" x14ac:dyDescent="0.3">
      <c r="B6" s="3" t="s">
        <v>11</v>
      </c>
      <c r="C6" s="9">
        <v>2019</v>
      </c>
      <c r="D6" s="9">
        <v>2020</v>
      </c>
      <c r="E6" s="9">
        <v>2021</v>
      </c>
      <c r="F6" s="9">
        <v>2022</v>
      </c>
      <c r="G6" s="9">
        <v>2023</v>
      </c>
      <c r="H6" s="9">
        <v>2024</v>
      </c>
      <c r="I6" s="9">
        <v>2025</v>
      </c>
    </row>
    <row r="7" spans="1:17" x14ac:dyDescent="0.3">
      <c r="B7" s="3" t="s">
        <v>0</v>
      </c>
      <c r="C7" s="2">
        <v>82675</v>
      </c>
      <c r="D7" s="2">
        <v>90791</v>
      </c>
      <c r="E7" s="2">
        <v>100472</v>
      </c>
      <c r="F7" s="2">
        <v>121641</v>
      </c>
      <c r="G7" s="2">
        <v>146767</v>
      </c>
      <c r="H7" s="2">
        <v>153670</v>
      </c>
      <c r="I7" s="2">
        <v>162990</v>
      </c>
    </row>
    <row r="8" spans="1:17" x14ac:dyDescent="0.3">
      <c r="B8" s="3" t="s">
        <v>1</v>
      </c>
      <c r="C8" s="6">
        <v>21041</v>
      </c>
      <c r="D8" s="2">
        <v>22177</v>
      </c>
      <c r="E8" s="2">
        <v>26823</v>
      </c>
      <c r="F8" s="2">
        <v>30310</v>
      </c>
      <c r="G8" s="2">
        <v>33606</v>
      </c>
      <c r="H8" s="2">
        <v>36458</v>
      </c>
      <c r="I8" s="2">
        <v>38024</v>
      </c>
    </row>
    <row r="9" spans="1:17" x14ac:dyDescent="0.3">
      <c r="B9" s="3" t="s">
        <v>2</v>
      </c>
      <c r="C9" s="7">
        <f>C8/C7</f>
        <v>0.25450257030541273</v>
      </c>
      <c r="D9" s="7">
        <f t="shared" ref="D9:I9" si="0">D8/D7</f>
        <v>0.24426429932482294</v>
      </c>
      <c r="E9" s="7">
        <f t="shared" si="0"/>
        <v>0.26696990206226612</v>
      </c>
      <c r="F9" s="7">
        <f t="shared" si="0"/>
        <v>0.24917585353622546</v>
      </c>
      <c r="G9" s="7">
        <f t="shared" si="0"/>
        <v>0.22897517834390566</v>
      </c>
      <c r="H9" s="7">
        <f t="shared" si="0"/>
        <v>0.23724864970391099</v>
      </c>
      <c r="I9" s="7">
        <f t="shared" si="0"/>
        <v>0.23329038591324622</v>
      </c>
      <c r="K9" s="12"/>
      <c r="L9" s="12"/>
    </row>
    <row r="10" spans="1:17" x14ac:dyDescent="0.3">
      <c r="B10" s="3" t="s">
        <v>3</v>
      </c>
      <c r="C10" s="2">
        <v>15404</v>
      </c>
      <c r="D10" s="2">
        <v>16594</v>
      </c>
      <c r="E10" s="2">
        <v>19351</v>
      </c>
      <c r="F10" s="2">
        <v>22110</v>
      </c>
      <c r="G10" s="2">
        <v>24095</v>
      </c>
      <c r="H10" s="2">
        <v>26233</v>
      </c>
      <c r="I10" s="2">
        <v>26713</v>
      </c>
    </row>
    <row r="11" spans="1:17" x14ac:dyDescent="0.3">
      <c r="B11" s="3" t="s">
        <v>4</v>
      </c>
      <c r="C11" s="2">
        <v>2011</v>
      </c>
      <c r="D11" s="2">
        <v>2893</v>
      </c>
      <c r="E11" s="2">
        <v>3267</v>
      </c>
      <c r="F11" s="2">
        <v>3476</v>
      </c>
      <c r="G11" s="2">
        <v>4225</v>
      </c>
      <c r="H11" s="2">
        <v>4678</v>
      </c>
      <c r="I11" s="2">
        <v>4812</v>
      </c>
    </row>
    <row r="12" spans="1:17" x14ac:dyDescent="0.3">
      <c r="B12" s="16" t="s">
        <v>73</v>
      </c>
      <c r="C12" s="4">
        <f>C11/C7</f>
        <v>2.4324160870879952E-2</v>
      </c>
      <c r="D12" s="4">
        <f t="shared" ref="D12:I12" si="1">D11/D7</f>
        <v>3.1864391845006661E-2</v>
      </c>
      <c r="E12" s="4">
        <f t="shared" si="1"/>
        <v>3.2516522016084085E-2</v>
      </c>
      <c r="F12" s="4">
        <f t="shared" si="1"/>
        <v>2.8575891352422292E-2</v>
      </c>
      <c r="G12" s="4">
        <f t="shared" si="1"/>
        <v>2.8787125171189708E-2</v>
      </c>
      <c r="H12" s="4">
        <f t="shared" si="1"/>
        <v>3.0441855925034164E-2</v>
      </c>
      <c r="I12" s="4">
        <f t="shared" si="1"/>
        <v>2.9523283637032948E-2</v>
      </c>
      <c r="K12" s="10"/>
      <c r="L12" s="19"/>
    </row>
    <row r="13" spans="1:17" x14ac:dyDescent="0.3">
      <c r="B13" s="3" t="s">
        <v>5</v>
      </c>
      <c r="C13" s="2">
        <v>632</v>
      </c>
      <c r="D13" s="2">
        <v>331</v>
      </c>
      <c r="E13" s="2">
        <v>7373</v>
      </c>
      <c r="F13" s="2">
        <v>6485</v>
      </c>
      <c r="G13" s="2">
        <v>1071</v>
      </c>
      <c r="H13" s="2">
        <v>5093</v>
      </c>
      <c r="I13" s="2">
        <v>1864</v>
      </c>
    </row>
    <row r="14" spans="1:17" x14ac:dyDescent="0.3">
      <c r="B14" s="16" t="s">
        <v>74</v>
      </c>
      <c r="C14" s="4">
        <f>C13/C7</f>
        <v>7.6443906864227399E-3</v>
      </c>
      <c r="D14" s="4">
        <f t="shared" ref="D14:I14" si="2">D13/D7</f>
        <v>3.645735810818253E-3</v>
      </c>
      <c r="E14" s="4">
        <f t="shared" si="2"/>
        <v>7.3383629269846332E-2</v>
      </c>
      <c r="F14" s="4">
        <f t="shared" si="2"/>
        <v>5.3312616634194065E-2</v>
      </c>
      <c r="G14" s="4">
        <f t="shared" si="2"/>
        <v>7.297280723868445E-3</v>
      </c>
      <c r="H14" s="4">
        <f t="shared" si="2"/>
        <v>3.3142448103078023E-2</v>
      </c>
      <c r="I14" s="4">
        <f t="shared" si="2"/>
        <v>1.1436284434627891E-2</v>
      </c>
      <c r="K14" s="10"/>
      <c r="L14" s="19"/>
    </row>
    <row r="15" spans="1:17" x14ac:dyDescent="0.3">
      <c r="B15" s="3" t="s">
        <v>6</v>
      </c>
      <c r="C15" s="2">
        <v>-1991</v>
      </c>
      <c r="D15" s="2">
        <v>-41</v>
      </c>
      <c r="E15" s="2">
        <v>4496</v>
      </c>
      <c r="F15" s="2">
        <v>-6760</v>
      </c>
      <c r="G15" s="2">
        <v>431</v>
      </c>
      <c r="H15" s="2">
        <v>9222</v>
      </c>
      <c r="I15" s="2">
        <v>4792</v>
      </c>
    </row>
    <row r="16" spans="1:17" x14ac:dyDescent="0.3">
      <c r="B16" s="20" t="s">
        <v>79</v>
      </c>
      <c r="C16" s="4">
        <f>C15/C7</f>
        <v>-2.4082249773208345E-2</v>
      </c>
      <c r="D16" s="4">
        <f t="shared" ref="D16:I16" si="3">D15/D7</f>
        <v>-4.5158661100769899E-4</v>
      </c>
      <c r="E16" s="4">
        <f t="shared" si="3"/>
        <v>4.4748785731348037E-2</v>
      </c>
      <c r="F16" s="4">
        <f t="shared" si="3"/>
        <v>-5.5573367532328735E-2</v>
      </c>
      <c r="G16" s="4">
        <f t="shared" si="3"/>
        <v>2.9366274434988794E-3</v>
      </c>
      <c r="H16" s="4">
        <f t="shared" si="3"/>
        <v>6.0011713411856578E-2</v>
      </c>
      <c r="I16" s="4">
        <f t="shared" si="3"/>
        <v>2.9400576722498312E-2</v>
      </c>
    </row>
    <row r="17" spans="2:9" x14ac:dyDescent="0.3">
      <c r="B17" s="3" t="s">
        <v>7</v>
      </c>
      <c r="C17" s="2">
        <v>14841</v>
      </c>
      <c r="D17" s="2">
        <v>17003</v>
      </c>
      <c r="E17" s="2">
        <v>23224</v>
      </c>
      <c r="F17" s="2">
        <v>23885</v>
      </c>
      <c r="G17" s="2">
        <v>22467</v>
      </c>
      <c r="H17" s="2">
        <v>25210</v>
      </c>
      <c r="I17" s="2">
        <v>35694</v>
      </c>
    </row>
    <row r="18" spans="2:9" x14ac:dyDescent="0.3">
      <c r="B18" s="3" t="s">
        <v>8</v>
      </c>
      <c r="C18" s="8">
        <v>0</v>
      </c>
      <c r="D18" s="2">
        <v>4633</v>
      </c>
      <c r="E18" s="2">
        <v>5325</v>
      </c>
      <c r="F18" s="2">
        <v>5474</v>
      </c>
      <c r="G18" s="2">
        <v>8299</v>
      </c>
      <c r="H18" s="2">
        <v>8359</v>
      </c>
      <c r="I18" s="2">
        <v>8227</v>
      </c>
    </row>
    <row r="19" spans="2:9" x14ac:dyDescent="0.3">
      <c r="B19" s="3" t="s">
        <v>9</v>
      </c>
      <c r="C19" s="2">
        <v>19568</v>
      </c>
      <c r="D19" s="2">
        <v>18649</v>
      </c>
      <c r="E19" s="2">
        <v>24714</v>
      </c>
      <c r="F19" s="2">
        <v>17472</v>
      </c>
      <c r="G19" s="2">
        <v>12173</v>
      </c>
      <c r="H19" s="2">
        <v>14786</v>
      </c>
      <c r="I19" s="2">
        <v>24455</v>
      </c>
    </row>
    <row r="20" spans="2:9" x14ac:dyDescent="0.3">
      <c r="B20" s="3" t="s">
        <v>10</v>
      </c>
      <c r="C20" s="35">
        <v>414.52082669999999</v>
      </c>
      <c r="D20" s="36"/>
      <c r="E20" s="36"/>
      <c r="F20" s="36"/>
      <c r="G20" s="36"/>
      <c r="H20" s="36"/>
      <c r="I20" s="37"/>
    </row>
    <row r="22" spans="2:9" x14ac:dyDescent="0.3">
      <c r="C22" s="5"/>
    </row>
    <row r="23" spans="2:9" x14ac:dyDescent="0.3">
      <c r="B23" s="28" t="s">
        <v>75</v>
      </c>
      <c r="C23" s="29">
        <f>AVERAGE(C12:I12)</f>
        <v>2.9433318688235684E-2</v>
      </c>
    </row>
    <row r="24" spans="2:9" x14ac:dyDescent="0.3">
      <c r="B24" s="28" t="s">
        <v>76</v>
      </c>
      <c r="C24" s="30">
        <f>AVERAGE(C14:I14)</f>
        <v>2.7123197951836538E-2</v>
      </c>
    </row>
    <row r="25" spans="2:9" x14ac:dyDescent="0.3">
      <c r="B25" s="28" t="s">
        <v>80</v>
      </c>
      <c r="C25" s="31">
        <f>AVERAGE(C16:I16)</f>
        <v>8.1414999132367188E-3</v>
      </c>
    </row>
  </sheetData>
  <mergeCells count="1">
    <mergeCell ref="A1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97C5-FDE4-493A-A4C7-F37484F35BAA}">
  <dimension ref="A1:V57"/>
  <sheetViews>
    <sheetView showGridLines="0" topLeftCell="A37" workbookViewId="0">
      <selection activeCell="C60" sqref="C60"/>
    </sheetView>
  </sheetViews>
  <sheetFormatPr defaultRowHeight="14.4" x14ac:dyDescent="0.3"/>
  <cols>
    <col min="1" max="1" width="37.5546875" customWidth="1"/>
    <col min="2" max="2" width="30" bestFit="1" customWidth="1"/>
    <col min="3" max="3" width="36" customWidth="1"/>
    <col min="5" max="5" width="21.21875" customWidth="1"/>
  </cols>
  <sheetData>
    <row r="1" spans="1:22" ht="14.4" customHeight="1" x14ac:dyDescent="0.3">
      <c r="A1" s="105" t="s">
        <v>54</v>
      </c>
      <c r="B1" s="105"/>
      <c r="C1" s="105"/>
      <c r="D1" s="105"/>
      <c r="E1" s="105"/>
      <c r="F1" s="105"/>
      <c r="G1" s="105"/>
      <c r="H1" s="105"/>
      <c r="I1" s="105"/>
      <c r="J1" s="105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21.6" customHeight="1" x14ac:dyDescent="0.3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5" spans="1:22" x14ac:dyDescent="0.3">
      <c r="A5" s="40" t="s">
        <v>12</v>
      </c>
      <c r="B5" s="2" t="s">
        <v>13</v>
      </c>
      <c r="C5" s="44" t="s">
        <v>17</v>
      </c>
      <c r="D5" s="44"/>
      <c r="E5" s="44"/>
    </row>
    <row r="6" spans="1:22" x14ac:dyDescent="0.3">
      <c r="A6" s="40"/>
      <c r="B6" s="2" t="s">
        <v>14</v>
      </c>
      <c r="C6" s="44" t="s">
        <v>18</v>
      </c>
      <c r="D6" s="44"/>
      <c r="E6" s="44"/>
    </row>
    <row r="7" spans="1:22" x14ac:dyDescent="0.3">
      <c r="A7" s="40"/>
      <c r="B7" s="2" t="s">
        <v>15</v>
      </c>
      <c r="C7" s="44" t="s">
        <v>19</v>
      </c>
      <c r="D7" s="44"/>
      <c r="E7" s="44"/>
    </row>
    <row r="8" spans="1:22" x14ac:dyDescent="0.3">
      <c r="A8" s="40"/>
      <c r="B8" s="2" t="s">
        <v>16</v>
      </c>
      <c r="C8" s="44" t="s">
        <v>20</v>
      </c>
      <c r="D8" s="44"/>
      <c r="E8" s="44"/>
    </row>
    <row r="9" spans="1:22" x14ac:dyDescent="0.3">
      <c r="A9" s="40" t="s">
        <v>21</v>
      </c>
      <c r="B9" s="2" t="s">
        <v>35</v>
      </c>
      <c r="C9" s="45">
        <v>0.06</v>
      </c>
      <c r="D9" s="45"/>
      <c r="E9" s="45"/>
    </row>
    <row r="10" spans="1:22" x14ac:dyDescent="0.3">
      <c r="A10" s="40"/>
      <c r="B10" s="2" t="s">
        <v>36</v>
      </c>
      <c r="C10" s="42">
        <v>0.08</v>
      </c>
      <c r="D10" s="42"/>
      <c r="E10" s="42"/>
    </row>
    <row r="11" spans="1:22" x14ac:dyDescent="0.3">
      <c r="A11" s="40"/>
      <c r="B11" s="2" t="s">
        <v>37</v>
      </c>
      <c r="C11" s="42">
        <v>0.04</v>
      </c>
      <c r="D11" s="42"/>
      <c r="E11" s="42"/>
    </row>
    <row r="12" spans="1:22" x14ac:dyDescent="0.3">
      <c r="A12" s="40"/>
      <c r="B12" s="2"/>
      <c r="C12" s="44"/>
      <c r="D12" s="44"/>
      <c r="E12" s="44"/>
    </row>
    <row r="13" spans="1:22" ht="32.4" customHeight="1" x14ac:dyDescent="0.3">
      <c r="A13" s="40"/>
      <c r="B13" s="14" t="s">
        <v>25</v>
      </c>
      <c r="C13" s="41" t="s">
        <v>46</v>
      </c>
      <c r="D13" s="41"/>
      <c r="E13" s="41"/>
      <c r="F13" s="11"/>
    </row>
    <row r="14" spans="1:22" ht="14.4" customHeight="1" x14ac:dyDescent="0.3">
      <c r="A14" s="40" t="s">
        <v>22</v>
      </c>
      <c r="B14" s="2" t="s">
        <v>40</v>
      </c>
      <c r="C14" s="46">
        <v>0.215</v>
      </c>
      <c r="D14" s="46"/>
      <c r="E14" s="46"/>
    </row>
    <row r="15" spans="1:22" x14ac:dyDescent="0.3">
      <c r="A15" s="40"/>
      <c r="B15" s="2" t="s">
        <v>36</v>
      </c>
      <c r="C15" s="42">
        <v>0.24</v>
      </c>
      <c r="D15" s="42"/>
      <c r="E15" s="42"/>
    </row>
    <row r="16" spans="1:22" x14ac:dyDescent="0.3">
      <c r="A16" s="40"/>
      <c r="B16" s="2" t="s">
        <v>37</v>
      </c>
      <c r="C16" s="42">
        <v>0.2</v>
      </c>
      <c r="D16" s="42"/>
      <c r="E16" s="42"/>
    </row>
    <row r="17" spans="1:5" x14ac:dyDescent="0.3">
      <c r="A17" s="40"/>
      <c r="B17" s="2"/>
      <c r="C17" s="44"/>
      <c r="D17" s="44"/>
      <c r="E17" s="44"/>
    </row>
    <row r="18" spans="1:5" x14ac:dyDescent="0.3">
      <c r="A18" s="40"/>
      <c r="B18" s="2" t="s">
        <v>38</v>
      </c>
      <c r="C18" s="2" t="s">
        <v>39</v>
      </c>
      <c r="D18" s="2"/>
      <c r="E18" s="2"/>
    </row>
    <row r="19" spans="1:5" x14ac:dyDescent="0.3">
      <c r="A19" s="40" t="s">
        <v>23</v>
      </c>
      <c r="B19" s="2" t="s">
        <v>41</v>
      </c>
      <c r="C19" s="51">
        <v>0.28870000000000001</v>
      </c>
      <c r="D19" s="51"/>
      <c r="E19" s="51"/>
    </row>
    <row r="20" spans="1:5" x14ac:dyDescent="0.3">
      <c r="A20" s="40"/>
      <c r="B20" s="2" t="s">
        <v>42</v>
      </c>
      <c r="C20" s="2" t="s">
        <v>43</v>
      </c>
      <c r="D20" s="2"/>
      <c r="E20" s="2"/>
    </row>
    <row r="21" spans="1:5" x14ac:dyDescent="0.3">
      <c r="A21" s="40" t="s">
        <v>81</v>
      </c>
      <c r="B21" s="43" t="s">
        <v>44</v>
      </c>
      <c r="C21" s="43"/>
      <c r="D21" s="43"/>
      <c r="E21" s="43"/>
    </row>
    <row r="22" spans="1:5" x14ac:dyDescent="0.3">
      <c r="A22" s="40"/>
      <c r="B22" s="43"/>
      <c r="C22" s="43"/>
      <c r="D22" s="43"/>
      <c r="E22" s="43"/>
    </row>
    <row r="23" spans="1:5" x14ac:dyDescent="0.3">
      <c r="A23" s="40"/>
      <c r="B23" s="2"/>
      <c r="C23" s="44"/>
      <c r="D23" s="44"/>
      <c r="E23" s="44"/>
    </row>
    <row r="24" spans="1:5" x14ac:dyDescent="0.3">
      <c r="A24" s="40"/>
      <c r="B24" s="2" t="s">
        <v>24</v>
      </c>
      <c r="C24" s="44" t="s">
        <v>45</v>
      </c>
      <c r="D24" s="44"/>
      <c r="E24" s="44"/>
    </row>
    <row r="25" spans="1:5" x14ac:dyDescent="0.3">
      <c r="A25" s="40"/>
      <c r="B25" s="15" t="s">
        <v>25</v>
      </c>
      <c r="C25" s="41" t="s">
        <v>26</v>
      </c>
      <c r="D25" s="41"/>
      <c r="E25" s="41"/>
    </row>
    <row r="26" spans="1:5" x14ac:dyDescent="0.3">
      <c r="A26" s="40"/>
      <c r="B26" s="2" t="s">
        <v>77</v>
      </c>
      <c r="C26" s="58">
        <f>'Historical Data'!C24</f>
        <v>2.7123197951836538E-2</v>
      </c>
      <c r="D26" s="49"/>
      <c r="E26" s="50"/>
    </row>
    <row r="27" spans="1:5" x14ac:dyDescent="0.3">
      <c r="A27" s="40"/>
      <c r="B27" s="2" t="s">
        <v>83</v>
      </c>
      <c r="C27" s="58">
        <f>'Historical Data'!C23</f>
        <v>2.9433318688235684E-2</v>
      </c>
      <c r="D27" s="59"/>
      <c r="E27" s="60"/>
    </row>
    <row r="28" spans="1:5" x14ac:dyDescent="0.3">
      <c r="A28" s="40"/>
      <c r="B28" s="2" t="s">
        <v>82</v>
      </c>
      <c r="C28" s="51">
        <f>'Historical Data'!C25</f>
        <v>8.1414999132367188E-3</v>
      </c>
      <c r="D28" s="44"/>
      <c r="E28" s="44"/>
    </row>
    <row r="29" spans="1:5" x14ac:dyDescent="0.3">
      <c r="A29" s="40"/>
      <c r="B29" s="2" t="s">
        <v>38</v>
      </c>
      <c r="C29" s="48" t="s">
        <v>78</v>
      </c>
      <c r="D29" s="49"/>
      <c r="E29" s="50"/>
    </row>
    <row r="30" spans="1:5" x14ac:dyDescent="0.3">
      <c r="A30" s="40" t="s">
        <v>27</v>
      </c>
      <c r="B30" s="47" t="s">
        <v>55</v>
      </c>
      <c r="C30" s="47"/>
      <c r="D30" s="47"/>
      <c r="E30" s="47"/>
    </row>
    <row r="31" spans="1:5" x14ac:dyDescent="0.3">
      <c r="A31" s="40"/>
      <c r="B31" s="17" t="s">
        <v>57</v>
      </c>
      <c r="C31" s="51">
        <v>6.2063E-2</v>
      </c>
      <c r="D31" s="51"/>
      <c r="E31" s="51"/>
    </row>
    <row r="32" spans="1:5" x14ac:dyDescent="0.3">
      <c r="A32" s="40"/>
      <c r="B32" s="17" t="s">
        <v>47</v>
      </c>
      <c r="C32" s="44">
        <v>0.81</v>
      </c>
      <c r="D32" s="44"/>
      <c r="E32" s="44"/>
    </row>
    <row r="33" spans="1:5" x14ac:dyDescent="0.3">
      <c r="A33" s="40"/>
      <c r="B33" s="17" t="s">
        <v>58</v>
      </c>
      <c r="C33" s="52">
        <v>9.1475000000000001E-2</v>
      </c>
      <c r="D33" s="53"/>
      <c r="E33" s="54"/>
    </row>
    <row r="34" spans="1:5" x14ac:dyDescent="0.3">
      <c r="A34" s="40"/>
      <c r="B34" s="17" t="s">
        <v>59</v>
      </c>
      <c r="C34" s="51">
        <f>C33-C31</f>
        <v>2.9412000000000001E-2</v>
      </c>
      <c r="D34" s="51"/>
      <c r="E34" s="51"/>
    </row>
    <row r="35" spans="1:5" x14ac:dyDescent="0.3">
      <c r="A35" s="40"/>
      <c r="B35" s="64" t="s">
        <v>28</v>
      </c>
      <c r="C35" s="65"/>
      <c r="D35" s="65"/>
      <c r="E35" s="66"/>
    </row>
    <row r="36" spans="1:5" x14ac:dyDescent="0.3">
      <c r="A36" s="40"/>
      <c r="B36" s="61" t="s">
        <v>56</v>
      </c>
      <c r="C36" s="62"/>
      <c r="D36" s="62"/>
      <c r="E36" s="63"/>
    </row>
    <row r="37" spans="1:5" x14ac:dyDescent="0.3">
      <c r="A37" s="40"/>
      <c r="B37" s="18" t="s">
        <v>60</v>
      </c>
      <c r="C37" s="51">
        <f>C31+C34*C32</f>
        <v>8.588672E-2</v>
      </c>
      <c r="D37" s="51"/>
      <c r="E37" s="51"/>
    </row>
    <row r="38" spans="1:5" x14ac:dyDescent="0.3">
      <c r="A38" s="40"/>
      <c r="B38" s="47" t="s">
        <v>29</v>
      </c>
      <c r="C38" s="47"/>
      <c r="D38" s="47"/>
      <c r="E38" s="47"/>
    </row>
    <row r="39" spans="1:5" x14ac:dyDescent="0.3">
      <c r="A39" s="40"/>
      <c r="B39" s="17" t="s">
        <v>48</v>
      </c>
      <c r="C39" s="51">
        <v>4.4999999999999998E-2</v>
      </c>
      <c r="D39" s="51"/>
      <c r="E39" s="51"/>
    </row>
    <row r="40" spans="1:5" x14ac:dyDescent="0.3">
      <c r="A40" s="40"/>
      <c r="B40" s="17" t="s">
        <v>49</v>
      </c>
      <c r="C40" s="51">
        <f>C19</f>
        <v>0.28870000000000001</v>
      </c>
      <c r="D40" s="51"/>
      <c r="E40" s="51"/>
    </row>
    <row r="41" spans="1:5" x14ac:dyDescent="0.3">
      <c r="A41" s="40"/>
      <c r="B41" s="17" t="s">
        <v>61</v>
      </c>
      <c r="C41" s="55"/>
      <c r="D41" s="56"/>
      <c r="E41" s="57"/>
    </row>
    <row r="42" spans="1:5" x14ac:dyDescent="0.3">
      <c r="A42" s="40"/>
      <c r="B42" s="17" t="s">
        <v>62</v>
      </c>
      <c r="C42" s="58">
        <f>C39*(1-C40)</f>
        <v>3.2008500000000002E-2</v>
      </c>
      <c r="D42" s="59"/>
      <c r="E42" s="60"/>
    </row>
    <row r="43" spans="1:5" x14ac:dyDescent="0.3">
      <c r="A43" s="40"/>
      <c r="B43" s="47" t="s">
        <v>30</v>
      </c>
      <c r="C43" s="47"/>
      <c r="D43" s="47"/>
      <c r="E43" s="47"/>
    </row>
    <row r="44" spans="1:5" x14ac:dyDescent="0.3">
      <c r="A44" s="40"/>
      <c r="B44" s="17" t="s">
        <v>67</v>
      </c>
      <c r="C44" s="48">
        <v>0.06</v>
      </c>
      <c r="D44" s="49"/>
      <c r="E44" s="50"/>
    </row>
    <row r="45" spans="1:5" x14ac:dyDescent="0.3">
      <c r="A45" s="40"/>
      <c r="B45" s="17" t="s">
        <v>65</v>
      </c>
      <c r="C45" s="70">
        <f>1/(1+C44)</f>
        <v>0.94339622641509424</v>
      </c>
      <c r="D45" s="70"/>
      <c r="E45" s="70"/>
    </row>
    <row r="46" spans="1:5" x14ac:dyDescent="0.3">
      <c r="A46" s="40"/>
      <c r="B46" s="17" t="s">
        <v>66</v>
      </c>
      <c r="C46" s="70">
        <f>C44/(1+C44)</f>
        <v>5.6603773584905655E-2</v>
      </c>
      <c r="D46" s="70"/>
      <c r="E46" s="70"/>
    </row>
    <row r="47" spans="1:5" x14ac:dyDescent="0.3">
      <c r="A47" s="40"/>
      <c r="B47" s="47" t="s">
        <v>31</v>
      </c>
      <c r="C47" s="47"/>
      <c r="D47" s="47"/>
      <c r="E47" s="47"/>
    </row>
    <row r="48" spans="1:5" x14ac:dyDescent="0.3">
      <c r="A48" s="40"/>
      <c r="B48" s="17" t="s">
        <v>63</v>
      </c>
      <c r="C48" s="48" t="s">
        <v>64</v>
      </c>
      <c r="D48" s="49"/>
      <c r="E48" s="50"/>
    </row>
    <row r="49" spans="1:5" x14ac:dyDescent="0.3">
      <c r="A49" s="40"/>
      <c r="B49" s="17" t="s">
        <v>63</v>
      </c>
      <c r="C49" s="52">
        <f>WACC!E26</f>
        <v>8.2837009433962258E-2</v>
      </c>
      <c r="D49" s="53"/>
      <c r="E49" s="54"/>
    </row>
    <row r="50" spans="1:5" x14ac:dyDescent="0.3">
      <c r="A50" s="40" t="s">
        <v>32</v>
      </c>
      <c r="B50" s="47" t="s">
        <v>33</v>
      </c>
      <c r="C50" s="47"/>
      <c r="D50" s="47"/>
      <c r="E50" s="47"/>
    </row>
    <row r="51" spans="1:5" x14ac:dyDescent="0.3">
      <c r="A51" s="40"/>
      <c r="B51" s="17" t="s">
        <v>51</v>
      </c>
      <c r="C51" s="51">
        <v>0.04</v>
      </c>
      <c r="D51" s="51"/>
      <c r="E51" s="51"/>
    </row>
    <row r="52" spans="1:5" x14ac:dyDescent="0.3">
      <c r="A52" s="40"/>
      <c r="B52" s="17" t="s">
        <v>38</v>
      </c>
      <c r="C52" s="44" t="s">
        <v>50</v>
      </c>
      <c r="D52" s="44"/>
      <c r="E52" s="44"/>
    </row>
    <row r="53" spans="1:5" x14ac:dyDescent="0.3">
      <c r="A53" s="40" t="s">
        <v>34</v>
      </c>
      <c r="B53" s="2" t="s">
        <v>52</v>
      </c>
      <c r="C53" s="44">
        <f>'Historical Data'!I19</f>
        <v>24455</v>
      </c>
      <c r="D53" s="44"/>
      <c r="E53" s="44"/>
    </row>
    <row r="54" spans="1:5" x14ac:dyDescent="0.3">
      <c r="A54" s="40"/>
      <c r="B54" s="2" t="s">
        <v>53</v>
      </c>
      <c r="C54" s="44">
        <f>'Historical Data'!I18</f>
        <v>8227</v>
      </c>
      <c r="D54" s="44"/>
      <c r="E54" s="44"/>
    </row>
    <row r="55" spans="1:5" x14ac:dyDescent="0.3">
      <c r="A55" s="40"/>
      <c r="B55" s="2" t="s">
        <v>68</v>
      </c>
      <c r="C55" s="48">
        <f>C54-C53</f>
        <v>-16228</v>
      </c>
      <c r="D55" s="49"/>
      <c r="E55" s="50"/>
    </row>
    <row r="56" spans="1:5" x14ac:dyDescent="0.3">
      <c r="A56" s="67" t="str">
        <f>'Historical Data'!B20</f>
        <v>Shares Outstanding</v>
      </c>
      <c r="B56" s="69">
        <f>'Historical Data'!C20</f>
        <v>414.52082669999999</v>
      </c>
      <c r="C56" s="69"/>
      <c r="D56" s="69"/>
      <c r="E56" s="69"/>
    </row>
    <row r="57" spans="1:5" x14ac:dyDescent="0.3">
      <c r="A57" s="68"/>
      <c r="B57" s="69"/>
      <c r="C57" s="69"/>
      <c r="D57" s="69"/>
      <c r="E57" s="69"/>
    </row>
  </sheetData>
  <mergeCells count="60">
    <mergeCell ref="F1:J2"/>
    <mergeCell ref="C55:E55"/>
    <mergeCell ref="C26:E26"/>
    <mergeCell ref="B35:E35"/>
    <mergeCell ref="C28:E28"/>
    <mergeCell ref="A56:A57"/>
    <mergeCell ref="B56:E57"/>
    <mergeCell ref="C52:E52"/>
    <mergeCell ref="B50:E50"/>
    <mergeCell ref="C53:E53"/>
    <mergeCell ref="C54:E54"/>
    <mergeCell ref="C48:E48"/>
    <mergeCell ref="C49:E49"/>
    <mergeCell ref="C44:E44"/>
    <mergeCell ref="C45:E45"/>
    <mergeCell ref="C46:E46"/>
    <mergeCell ref="C51:E51"/>
    <mergeCell ref="A1:E2"/>
    <mergeCell ref="C33:E33"/>
    <mergeCell ref="C37:E37"/>
    <mergeCell ref="C41:E41"/>
    <mergeCell ref="C42:E42"/>
    <mergeCell ref="B36:E36"/>
    <mergeCell ref="A30:A49"/>
    <mergeCell ref="B47:E47"/>
    <mergeCell ref="B43:E43"/>
    <mergeCell ref="C39:E39"/>
    <mergeCell ref="C40:E40"/>
    <mergeCell ref="C34:E34"/>
    <mergeCell ref="B38:E38"/>
    <mergeCell ref="C27:E27"/>
    <mergeCell ref="C31:E31"/>
    <mergeCell ref="C32:E32"/>
    <mergeCell ref="C12:E12"/>
    <mergeCell ref="C14:E14"/>
    <mergeCell ref="A21:A29"/>
    <mergeCell ref="B30:E30"/>
    <mergeCell ref="C29:E29"/>
    <mergeCell ref="C16:E16"/>
    <mergeCell ref="C17:E17"/>
    <mergeCell ref="C19:E19"/>
    <mergeCell ref="C23:E23"/>
    <mergeCell ref="C24:E24"/>
    <mergeCell ref="C25:E25"/>
    <mergeCell ref="A50:A52"/>
    <mergeCell ref="A53:A55"/>
    <mergeCell ref="C13:E13"/>
    <mergeCell ref="A5:A8"/>
    <mergeCell ref="A9:A13"/>
    <mergeCell ref="A14:A18"/>
    <mergeCell ref="A19:A20"/>
    <mergeCell ref="C15:E15"/>
    <mergeCell ref="B21:E22"/>
    <mergeCell ref="C5:E5"/>
    <mergeCell ref="C6:E6"/>
    <mergeCell ref="C7:E7"/>
    <mergeCell ref="C8:E8"/>
    <mergeCell ref="C9:E9"/>
    <mergeCell ref="C10:E10"/>
    <mergeCell ref="C11:E1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05BA-187D-44D0-B84F-9716FF351D0C}">
  <dimension ref="A1:U12"/>
  <sheetViews>
    <sheetView showGridLines="0" workbookViewId="0">
      <selection activeCell="B8" sqref="B8"/>
    </sheetView>
  </sheetViews>
  <sheetFormatPr defaultRowHeight="14.4" x14ac:dyDescent="0.3"/>
  <cols>
    <col min="2" max="2" width="10" customWidth="1"/>
    <col min="4" max="4" width="12.6640625" bestFit="1" customWidth="1"/>
    <col min="5" max="6" width="10.77734375" customWidth="1"/>
    <col min="7" max="8" width="11.109375" customWidth="1"/>
    <col min="9" max="9" width="10.77734375" customWidth="1"/>
    <col min="11" max="11" width="25.77734375" bestFit="1" customWidth="1"/>
  </cols>
  <sheetData>
    <row r="1" spans="1:21" x14ac:dyDescent="0.3">
      <c r="A1" s="108" t="s">
        <v>72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6"/>
      <c r="N1" s="106"/>
      <c r="O1" s="106"/>
      <c r="P1" s="106"/>
      <c r="Q1" s="106"/>
      <c r="R1" s="106"/>
      <c r="S1" s="106"/>
      <c r="T1" s="106"/>
      <c r="U1" s="106"/>
    </row>
    <row r="2" spans="1:21" ht="25.2" customHeight="1" x14ac:dyDescent="0.3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6"/>
      <c r="N2" s="106"/>
      <c r="O2" s="106"/>
      <c r="P2" s="106"/>
      <c r="Q2" s="106"/>
      <c r="R2" s="106"/>
      <c r="S2" s="106"/>
      <c r="T2" s="106"/>
      <c r="U2" s="106"/>
    </row>
    <row r="4" spans="1:21" ht="15" thickBot="1" x14ac:dyDescent="0.35"/>
    <row r="5" spans="1:21" ht="15" thickBot="1" x14ac:dyDescent="0.35">
      <c r="D5" s="120" t="s">
        <v>11</v>
      </c>
      <c r="E5" s="129">
        <v>2026</v>
      </c>
      <c r="F5" s="130">
        <v>2027</v>
      </c>
      <c r="G5" s="129">
        <v>2028</v>
      </c>
      <c r="H5" s="130">
        <v>2029</v>
      </c>
      <c r="I5" s="129">
        <v>2030</v>
      </c>
    </row>
    <row r="6" spans="1:21" x14ac:dyDescent="0.3">
      <c r="D6" s="121" t="s">
        <v>0</v>
      </c>
      <c r="E6" s="127">
        <f>'Historical Data'!$I$7*(1+Forecast!L6)</f>
        <v>172769.4</v>
      </c>
      <c r="F6" s="128">
        <f>E6*(1+$L$6)</f>
        <v>183135.56400000001</v>
      </c>
      <c r="G6" s="127">
        <f>F6*(1+$L$6)</f>
        <v>194123.69784000004</v>
      </c>
      <c r="H6" s="128">
        <f t="shared" ref="H6:I6" si="0">G6*(1+$L$6)</f>
        <v>205771.11971040006</v>
      </c>
      <c r="I6" s="127">
        <f t="shared" si="0"/>
        <v>218117.38689302409</v>
      </c>
      <c r="K6" s="113" t="str">
        <f>Assumptions!B9</f>
        <v xml:space="preserve">Revenue Growth (Base Case): </v>
      </c>
      <c r="L6" s="116">
        <f>Assumptions!C9</f>
        <v>0.06</v>
      </c>
    </row>
    <row r="7" spans="1:21" x14ac:dyDescent="0.3">
      <c r="D7" s="121" t="s">
        <v>1</v>
      </c>
      <c r="E7" s="123">
        <f>E6*$L$7</f>
        <v>37145.420999999995</v>
      </c>
      <c r="F7" s="125">
        <f>F6*$L$7</f>
        <v>39374.146260000001</v>
      </c>
      <c r="G7" s="123">
        <f t="shared" ref="G7:I7" si="1">G6*$L$7</f>
        <v>41736.59503560001</v>
      </c>
      <c r="H7" s="125">
        <f t="shared" si="1"/>
        <v>44240.79073773601</v>
      </c>
      <c r="I7" s="123">
        <f t="shared" si="1"/>
        <v>46895.238182000176</v>
      </c>
      <c r="K7" s="114" t="str">
        <f>Assumptions!B14</f>
        <v xml:space="preserve">EBIT Margin (Base Case): </v>
      </c>
      <c r="L7" s="117">
        <f>Assumptions!C14</f>
        <v>0.215</v>
      </c>
    </row>
    <row r="8" spans="1:21" x14ac:dyDescent="0.3">
      <c r="D8" s="121" t="s">
        <v>69</v>
      </c>
      <c r="E8" s="123">
        <f>E7*(1-$L$8)</f>
        <v>26421.537957299999</v>
      </c>
      <c r="F8" s="125">
        <f t="shared" ref="F8:I8" si="2">F7*(1-$L$8)</f>
        <v>28006.830234738001</v>
      </c>
      <c r="G8" s="123">
        <f t="shared" si="2"/>
        <v>29687.240048822288</v>
      </c>
      <c r="H8" s="125">
        <f t="shared" si="2"/>
        <v>31468.474451751626</v>
      </c>
      <c r="I8" s="123">
        <f t="shared" si="2"/>
        <v>33356.58291885673</v>
      </c>
      <c r="K8" s="114" t="str">
        <f>Assumptions!B19</f>
        <v>Effective Tax Rate:</v>
      </c>
      <c r="L8" s="118">
        <f>Assumptions!C19</f>
        <v>0.28870000000000001</v>
      </c>
    </row>
    <row r="9" spans="1:21" x14ac:dyDescent="0.3">
      <c r="D9" s="121" t="s">
        <v>4</v>
      </c>
      <c r="E9" s="123">
        <f>E6*$L$9</f>
        <v>5085.1768097752656</v>
      </c>
      <c r="F9" s="125">
        <f>F6*$L$9</f>
        <v>5390.2874183617823</v>
      </c>
      <c r="G9" s="123">
        <f t="shared" ref="G9:I9" si="3">G6*$L$9</f>
        <v>5713.7046634634899</v>
      </c>
      <c r="H9" s="125">
        <f t="shared" si="3"/>
        <v>6056.5269432713003</v>
      </c>
      <c r="I9" s="123">
        <f t="shared" si="3"/>
        <v>6419.9185598675786</v>
      </c>
      <c r="K9" s="114" t="str">
        <f>Assumptions!B27</f>
        <v>Depreciation:</v>
      </c>
      <c r="L9" s="118">
        <f>Assumptions!C27</f>
        <v>2.9433318688235684E-2</v>
      </c>
    </row>
    <row r="10" spans="1:21" x14ac:dyDescent="0.3">
      <c r="D10" s="121" t="s">
        <v>5</v>
      </c>
      <c r="E10" s="123">
        <f>E6*$L$10</f>
        <v>4686.0586362200274</v>
      </c>
      <c r="F10" s="125">
        <f t="shared" ref="F10:I10" si="4">F6*$L$10</f>
        <v>4967.2221543932301</v>
      </c>
      <c r="G10" s="123">
        <f t="shared" si="4"/>
        <v>5265.2554836568243</v>
      </c>
      <c r="H10" s="125">
        <f t="shared" si="4"/>
        <v>5581.1708126762342</v>
      </c>
      <c r="I10" s="123">
        <f t="shared" si="4"/>
        <v>5916.0410614368084</v>
      </c>
      <c r="K10" s="114" t="str">
        <f>Assumptions!B26</f>
        <v>CapEx:</v>
      </c>
      <c r="L10" s="118">
        <f>Assumptions!C26</f>
        <v>2.7123197951836538E-2</v>
      </c>
    </row>
    <row r="11" spans="1:21" ht="15" thickBot="1" x14ac:dyDescent="0.35">
      <c r="D11" s="121" t="s">
        <v>70</v>
      </c>
      <c r="E11" s="123">
        <f>E6*$L$11</f>
        <v>1406.60205510996</v>
      </c>
      <c r="F11" s="125">
        <f t="shared" ref="F11:I11" si="5">F6*$L$11</f>
        <v>1490.9981784165577</v>
      </c>
      <c r="G11" s="123">
        <f t="shared" si="5"/>
        <v>1580.4580691215513</v>
      </c>
      <c r="H11" s="125">
        <f t="shared" si="5"/>
        <v>1675.2855532688445</v>
      </c>
      <c r="I11" s="123">
        <f t="shared" si="5"/>
        <v>1775.8026864649755</v>
      </c>
      <c r="K11" s="115" t="str">
        <f>Assumptions!B28</f>
        <v>Δ in WC:</v>
      </c>
      <c r="L11" s="119">
        <f>Assumptions!C28</f>
        <v>8.1414999132367188E-3</v>
      </c>
    </row>
    <row r="12" spans="1:21" ht="15" thickBot="1" x14ac:dyDescent="0.35">
      <c r="D12" s="122" t="s">
        <v>71</v>
      </c>
      <c r="E12" s="124">
        <f>E8+E9-E10-E11</f>
        <v>25414.054075745276</v>
      </c>
      <c r="F12" s="126">
        <f>F8+F9-F10-F11</f>
        <v>26938.897320289994</v>
      </c>
      <c r="G12" s="124">
        <f t="shared" ref="G12:I12" si="6">G8+G9-G10-G11</f>
        <v>28555.231159507406</v>
      </c>
      <c r="H12" s="126">
        <f t="shared" si="6"/>
        <v>30268.545029077846</v>
      </c>
      <c r="I12" s="124">
        <f t="shared" si="6"/>
        <v>32084.657730822521</v>
      </c>
    </row>
  </sheetData>
  <mergeCells count="2">
    <mergeCell ref="A1:L2"/>
    <mergeCell ref="M1: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6925-6931-4B0F-A67E-5131CF694F07}">
  <dimension ref="A1:N26"/>
  <sheetViews>
    <sheetView showGridLines="0" workbookViewId="0">
      <selection sqref="A1:N2"/>
    </sheetView>
  </sheetViews>
  <sheetFormatPr defaultRowHeight="14.4" x14ac:dyDescent="0.3"/>
  <cols>
    <col min="5" max="5" width="9.5546875" bestFit="1" customWidth="1"/>
    <col min="7" max="7" width="13.109375" bestFit="1" customWidth="1"/>
  </cols>
  <sheetData>
    <row r="1" spans="1:14" ht="20.399999999999999" customHeight="1" x14ac:dyDescent="0.3">
      <c r="A1" s="107" t="s">
        <v>84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21.6" customHeight="1" x14ac:dyDescent="0.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4" spans="1:14" x14ac:dyDescent="0.3">
      <c r="A4" s="1" t="s">
        <v>55</v>
      </c>
    </row>
    <row r="5" spans="1:14" x14ac:dyDescent="0.3">
      <c r="B5" t="str">
        <f>Assumptions!B31</f>
        <v xml:space="preserve">Risk-Free Rate (India 5Y Bond):  </v>
      </c>
      <c r="E5" s="12">
        <f>Assumptions!C31</f>
        <v>6.2063E-2</v>
      </c>
    </row>
    <row r="6" spans="1:14" x14ac:dyDescent="0.3">
      <c r="B6" t="str">
        <f>Assumptions!B32</f>
        <v xml:space="preserve">Beta (Infosys):  </v>
      </c>
      <c r="E6">
        <f>Assumptions!C32</f>
        <v>0.81</v>
      </c>
    </row>
    <row r="7" spans="1:14" x14ac:dyDescent="0.3">
      <c r="B7" t="str">
        <f>Assumptions!B33</f>
        <v>Market Rate of Return (Rm):</v>
      </c>
      <c r="E7" s="12">
        <f>Assumptions!C33</f>
        <v>9.1475000000000001E-2</v>
      </c>
    </row>
    <row r="8" spans="1:14" x14ac:dyDescent="0.3">
      <c r="B8" t="str">
        <f>Assumptions!B34</f>
        <v xml:space="preserve">Equity Risk Premium (Rm-Rf): </v>
      </c>
      <c r="E8" s="12">
        <f>E7-E5</f>
        <v>2.9412000000000001E-2</v>
      </c>
    </row>
    <row r="9" spans="1:14" ht="15" thickBot="1" x14ac:dyDescent="0.35"/>
    <row r="10" spans="1:14" ht="15" thickBot="1" x14ac:dyDescent="0.35">
      <c r="B10" s="22" t="str">
        <f>Assumptions!B35</f>
        <v>CAPM:</v>
      </c>
      <c r="C10" s="23"/>
      <c r="D10" s="24"/>
      <c r="E10" s="22" t="str">
        <f>Assumptions!B36</f>
        <v xml:space="preserve">Re = Rf + Beta × MRP  </v>
      </c>
      <c r="F10" s="24"/>
      <c r="G10" s="24"/>
    </row>
    <row r="11" spans="1:14" x14ac:dyDescent="0.3">
      <c r="D11" s="21" t="str">
        <f>Assumptions!B37</f>
        <v xml:space="preserve">Re = </v>
      </c>
      <c r="E11" s="12">
        <f>E5+E8*E6</f>
        <v>8.588672E-2</v>
      </c>
    </row>
    <row r="13" spans="1:14" x14ac:dyDescent="0.3">
      <c r="A13" s="1" t="str">
        <f>Assumptions!B38</f>
        <v>Cost of Debt (Rd)</v>
      </c>
    </row>
    <row r="14" spans="1:14" x14ac:dyDescent="0.3">
      <c r="B14" t="str">
        <f>Assumptions!B39</f>
        <v xml:space="preserve">Pre-tax Cost of Debt:  </v>
      </c>
      <c r="E14" s="12">
        <f>Assumptions!C39</f>
        <v>4.4999999999999998E-2</v>
      </c>
    </row>
    <row r="15" spans="1:14" ht="15" thickBot="1" x14ac:dyDescent="0.35">
      <c r="B15" t="str">
        <f>Assumptions!B40</f>
        <v xml:space="preserve">Tax Rate:   </v>
      </c>
      <c r="E15" s="12">
        <f>Assumptions!C40</f>
        <v>0.28870000000000001</v>
      </c>
    </row>
    <row r="16" spans="1:14" ht="15" thickBot="1" x14ac:dyDescent="0.35">
      <c r="B16" s="22" t="str">
        <f>Assumptions!B41</f>
        <v>After-tax Cost of Debt</v>
      </c>
      <c r="C16" s="23"/>
      <c r="D16" s="24"/>
      <c r="E16" s="22" t="str">
        <f>Assumptions!B42</f>
        <v>Rd × (1 – Tax Rate)=</v>
      </c>
      <c r="F16" s="24"/>
      <c r="G16" s="25">
        <f>E14*(1-E15)</f>
        <v>3.2008500000000002E-2</v>
      </c>
    </row>
    <row r="18" spans="1:7" x14ac:dyDescent="0.3">
      <c r="A18" s="1" t="str">
        <f>Assumptions!B43</f>
        <v>Capital Structure</v>
      </c>
    </row>
    <row r="19" spans="1:7" x14ac:dyDescent="0.3">
      <c r="B19" t="str">
        <f>Assumptions!B44</f>
        <v>Current D/E ratio:</v>
      </c>
      <c r="E19">
        <f>Assumptions!C44</f>
        <v>0.06</v>
      </c>
    </row>
    <row r="20" spans="1:7" x14ac:dyDescent="0.3">
      <c r="B20" t="str">
        <f>Assumptions!B45</f>
        <v>Equity Weight (E/V):  (Ke)</v>
      </c>
      <c r="E20" s="26">
        <f>1/(1+E19)</f>
        <v>0.94339622641509424</v>
      </c>
    </row>
    <row r="21" spans="1:7" x14ac:dyDescent="0.3">
      <c r="B21" t="str">
        <f>Assumptions!B46</f>
        <v>Debt Weight (D/V):  (Kd)</v>
      </c>
      <c r="E21" s="26">
        <f>1-E20</f>
        <v>5.6603773584905759E-2</v>
      </c>
    </row>
    <row r="23" spans="1:7" ht="15" thickBot="1" x14ac:dyDescent="0.35">
      <c r="A23" s="1" t="str">
        <f>Assumptions!B47</f>
        <v>Final WACC</v>
      </c>
    </row>
    <row r="24" spans="1:7" ht="15" thickBot="1" x14ac:dyDescent="0.35">
      <c r="B24" s="22" t="str">
        <f>Assumptions!B48</f>
        <v xml:space="preserve">WACC = </v>
      </c>
      <c r="C24" s="23"/>
      <c r="D24" s="24"/>
      <c r="E24" s="22" t="str">
        <f>Assumptions!C48</f>
        <v>Re*Ke + Rd*Kd*(1-tax)</v>
      </c>
      <c r="F24" s="23"/>
      <c r="G24" s="24"/>
    </row>
    <row r="25" spans="1:7" ht="15" thickBot="1" x14ac:dyDescent="0.35"/>
    <row r="26" spans="1:7" ht="15" thickBot="1" x14ac:dyDescent="0.35">
      <c r="D26" s="22" t="str">
        <f>Assumptions!B49</f>
        <v xml:space="preserve">WACC = </v>
      </c>
      <c r="E26" s="27">
        <f>E11*E20+G16*E21</f>
        <v>8.2837009433962258E-2</v>
      </c>
    </row>
  </sheetData>
  <mergeCells count="1">
    <mergeCell ref="A1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A918-1369-4F3C-8358-AAD47096FF95}">
  <dimension ref="A1:S20"/>
  <sheetViews>
    <sheetView showGridLines="0" workbookViewId="0">
      <selection sqref="A1:S2"/>
    </sheetView>
  </sheetViews>
  <sheetFormatPr defaultRowHeight="14.4" x14ac:dyDescent="0.3"/>
  <cols>
    <col min="2" max="2" width="18.5546875" bestFit="1" customWidth="1"/>
    <col min="3" max="3" width="11.5546875" customWidth="1"/>
    <col min="4" max="4" width="10.88671875" customWidth="1"/>
    <col min="5" max="5" width="10.6640625" customWidth="1"/>
    <col min="6" max="6" width="10.33203125" customWidth="1"/>
    <col min="7" max="7" width="10.44140625" customWidth="1"/>
    <col min="8" max="8" width="11.44140625" customWidth="1"/>
    <col min="10" max="10" width="9.5546875" bestFit="1" customWidth="1"/>
  </cols>
  <sheetData>
    <row r="1" spans="1:19" x14ac:dyDescent="0.3">
      <c r="A1" s="109" t="s">
        <v>85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24" customHeight="1" x14ac:dyDescent="0.3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19" ht="25.8" x14ac:dyDescent="0.5">
      <c r="A3" s="111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</row>
    <row r="4" spans="1:19" x14ac:dyDescent="0.3">
      <c r="B4" s="2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/>
    </row>
    <row r="5" spans="1:19" x14ac:dyDescent="0.3">
      <c r="B5" s="32" t="s">
        <v>96</v>
      </c>
      <c r="C5" s="13">
        <f>Forecast!E5</f>
        <v>2026</v>
      </c>
      <c r="D5" s="13">
        <f>Forecast!F5</f>
        <v>2027</v>
      </c>
      <c r="E5" s="13">
        <f>Forecast!G5</f>
        <v>2028</v>
      </c>
      <c r="F5" s="13">
        <f>Forecast!H5</f>
        <v>2029</v>
      </c>
      <c r="G5" s="13">
        <f>Forecast!I5</f>
        <v>2030</v>
      </c>
      <c r="H5" s="13" t="s">
        <v>86</v>
      </c>
    </row>
    <row r="6" spans="1:19" x14ac:dyDescent="0.3">
      <c r="B6" s="15" t="s">
        <v>71</v>
      </c>
      <c r="C6" s="33">
        <f>Forecast!E12</f>
        <v>25414.054075745276</v>
      </c>
      <c r="D6" s="33">
        <f>Forecast!F12</f>
        <v>26938.897320289994</v>
      </c>
      <c r="E6" s="33">
        <f>Forecast!G12</f>
        <v>28555.231159507406</v>
      </c>
      <c r="F6" s="33">
        <f>Forecast!H12</f>
        <v>30268.545029077846</v>
      </c>
      <c r="G6" s="33">
        <f>Forecast!I12</f>
        <v>32084.657730822521</v>
      </c>
      <c r="H6" s="34" t="s">
        <v>98</v>
      </c>
    </row>
    <row r="7" spans="1:19" x14ac:dyDescent="0.3">
      <c r="B7" s="15" t="s">
        <v>87</v>
      </c>
      <c r="C7" s="33">
        <f>1/(1+$C$18)^C4</f>
        <v>0.92350002012097443</v>
      </c>
      <c r="D7" s="33">
        <f>1/(1+$C$18)^D4</f>
        <v>0.85285228716344019</v>
      </c>
      <c r="E7" s="33">
        <f>1/(1+$C$18)^E4</f>
        <v>0.78760910435565612</v>
      </c>
      <c r="F7" s="33">
        <f>1/(1+$C$18)^F4</f>
        <v>0.72735702371991107</v>
      </c>
      <c r="G7" s="33">
        <f>1/(1+$C$18)^G4</f>
        <v>0.67171422604047004</v>
      </c>
      <c r="H7" s="34" t="s">
        <v>98</v>
      </c>
    </row>
    <row r="8" spans="1:19" x14ac:dyDescent="0.3">
      <c r="B8" s="15" t="s">
        <v>88</v>
      </c>
      <c r="C8" s="33">
        <f>C6*C7</f>
        <v>23469.879450306296</v>
      </c>
      <c r="D8" s="33">
        <f t="shared" ref="D8:G8" si="0">D6*D7</f>
        <v>22974.90019327039</v>
      </c>
      <c r="E8" s="33">
        <f t="shared" si="0"/>
        <v>22490.360038208353</v>
      </c>
      <c r="F8" s="33">
        <f t="shared" si="0"/>
        <v>22016.038824682171</v>
      </c>
      <c r="G8" s="33">
        <f t="shared" si="0"/>
        <v>21551.721035432834</v>
      </c>
      <c r="H8" s="34" t="s">
        <v>98</v>
      </c>
    </row>
    <row r="9" spans="1:19" x14ac:dyDescent="0.3">
      <c r="B9" s="15" t="s">
        <v>89</v>
      </c>
      <c r="C9" s="34" t="s">
        <v>98</v>
      </c>
      <c r="D9" s="34" t="s">
        <v>98</v>
      </c>
      <c r="E9" s="34" t="s">
        <v>98</v>
      </c>
      <c r="F9" s="34" t="s">
        <v>98</v>
      </c>
      <c r="G9" s="34" t="s">
        <v>98</v>
      </c>
      <c r="H9" s="33">
        <f>G6*(1+C19)/(C18-C19)</f>
        <v>778953.63100675272</v>
      </c>
    </row>
    <row r="10" spans="1:19" x14ac:dyDescent="0.3">
      <c r="B10" s="15" t="s">
        <v>90</v>
      </c>
      <c r="C10" s="34" t="s">
        <v>98</v>
      </c>
      <c r="D10" s="34" t="s">
        <v>98</v>
      </c>
      <c r="E10" s="34" t="s">
        <v>98</v>
      </c>
      <c r="F10" s="34" t="s">
        <v>98</v>
      </c>
      <c r="G10" s="34" t="s">
        <v>98</v>
      </c>
      <c r="H10" s="33">
        <f>H9*G7</f>
        <v>523234.23537311482</v>
      </c>
      <c r="J10" s="39"/>
    </row>
    <row r="11" spans="1:19" x14ac:dyDescent="0.3">
      <c r="B11" s="15" t="s">
        <v>100</v>
      </c>
      <c r="C11" s="74">
        <f>SUM(C8:G8)+H10</f>
        <v>635737.13491501485</v>
      </c>
      <c r="D11" s="75"/>
      <c r="E11" s="75"/>
      <c r="F11" s="75"/>
      <c r="G11" s="75"/>
      <c r="H11" s="76"/>
    </row>
    <row r="12" spans="1:19" x14ac:dyDescent="0.3">
      <c r="B12" s="15" t="s">
        <v>91</v>
      </c>
      <c r="C12" s="77">
        <f>Assumptions!C53</f>
        <v>24455</v>
      </c>
      <c r="D12" s="77"/>
      <c r="E12" s="77"/>
      <c r="F12" s="77"/>
      <c r="G12" s="77"/>
      <c r="H12" s="77"/>
    </row>
    <row r="13" spans="1:19" x14ac:dyDescent="0.3">
      <c r="B13" s="15" t="s">
        <v>92</v>
      </c>
      <c r="C13" s="77">
        <f>Assumptions!C54</f>
        <v>8227</v>
      </c>
      <c r="D13" s="77"/>
      <c r="E13" s="77"/>
      <c r="F13" s="77"/>
      <c r="G13" s="77"/>
      <c r="H13" s="77"/>
    </row>
    <row r="14" spans="1:19" x14ac:dyDescent="0.3">
      <c r="B14" s="28" t="s">
        <v>93</v>
      </c>
      <c r="C14" s="33" t="s">
        <v>94</v>
      </c>
      <c r="D14" s="33"/>
      <c r="E14" s="78">
        <f>C11+C12-C13</f>
        <v>651965.13491501485</v>
      </c>
      <c r="F14" s="78"/>
      <c r="G14" s="78"/>
      <c r="H14" s="78"/>
    </row>
    <row r="15" spans="1:19" x14ac:dyDescent="0.3">
      <c r="B15" s="28" t="s">
        <v>95</v>
      </c>
      <c r="C15" s="33" t="s">
        <v>99</v>
      </c>
      <c r="D15" s="33"/>
      <c r="E15" s="71">
        <f>E14/C20</f>
        <v>1572.8163530534976</v>
      </c>
      <c r="F15" s="72"/>
      <c r="G15" s="72"/>
      <c r="H15" s="73"/>
    </row>
    <row r="18" spans="2:3" x14ac:dyDescent="0.3">
      <c r="B18" s="3" t="str">
        <f>WACC!D26</f>
        <v xml:space="preserve">WACC = </v>
      </c>
      <c r="C18" s="31">
        <f>WACC!E26</f>
        <v>8.2837009433962258E-2</v>
      </c>
    </row>
    <row r="19" spans="2:3" x14ac:dyDescent="0.3">
      <c r="B19" s="3" t="s">
        <v>97</v>
      </c>
      <c r="C19" s="31">
        <f>Assumptions!C51</f>
        <v>0.04</v>
      </c>
    </row>
    <row r="20" spans="2:3" x14ac:dyDescent="0.3">
      <c r="B20" s="3" t="s">
        <v>101</v>
      </c>
      <c r="C20" s="38">
        <f>Assumptions!B56</f>
        <v>414.52082669999999</v>
      </c>
    </row>
  </sheetData>
  <mergeCells count="6">
    <mergeCell ref="E15:H15"/>
    <mergeCell ref="A1:S2"/>
    <mergeCell ref="C11:H11"/>
    <mergeCell ref="C12:H12"/>
    <mergeCell ref="C13:H13"/>
    <mergeCell ref="E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9B5E-E1A5-4121-8C2A-B9894B716C4E}">
  <dimension ref="A1:Q12"/>
  <sheetViews>
    <sheetView showGridLines="0" tabSelected="1" workbookViewId="0">
      <selection activeCell="H20" sqref="H20"/>
    </sheetView>
  </sheetViews>
  <sheetFormatPr defaultRowHeight="14.4" x14ac:dyDescent="0.3"/>
  <cols>
    <col min="3" max="3" width="7.6640625" customWidth="1"/>
    <col min="4" max="4" width="11" bestFit="1" customWidth="1"/>
    <col min="5" max="5" width="10.77734375" customWidth="1"/>
    <col min="6" max="9" width="12" bestFit="1" customWidth="1"/>
  </cols>
  <sheetData>
    <row r="1" spans="1:17" ht="22.2" customHeight="1" x14ac:dyDescent="0.3">
      <c r="A1" s="112" t="s">
        <v>102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ht="15.6" customHeight="1" x14ac:dyDescent="0.3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4" spans="1:17" ht="15" thickBot="1" x14ac:dyDescent="0.35">
      <c r="K4" s="12"/>
    </row>
    <row r="5" spans="1:17" ht="15" thickBot="1" x14ac:dyDescent="0.35">
      <c r="B5" s="80"/>
      <c r="C5" s="99"/>
      <c r="D5" s="102"/>
      <c r="E5" s="81" t="s">
        <v>84</v>
      </c>
      <c r="F5" s="81"/>
      <c r="G5" s="81"/>
      <c r="H5" s="81"/>
      <c r="I5" s="82"/>
      <c r="K5" s="12"/>
    </row>
    <row r="6" spans="1:17" ht="15" thickBot="1" x14ac:dyDescent="0.35">
      <c r="B6" s="89"/>
      <c r="C6" s="100"/>
      <c r="D6" s="83"/>
      <c r="E6" s="83"/>
      <c r="F6" s="83"/>
      <c r="G6" s="90" t="s">
        <v>104</v>
      </c>
      <c r="H6" s="83"/>
      <c r="I6" s="84"/>
      <c r="K6" s="12"/>
    </row>
    <row r="7" spans="1:17" x14ac:dyDescent="0.3">
      <c r="B7" s="103"/>
      <c r="C7" s="86"/>
      <c r="D7" s="92">
        <f>Valuation!E15</f>
        <v>1572.8163530534976</v>
      </c>
      <c r="E7" s="101">
        <f>F7-1%</f>
        <v>6.2800000000000009E-2</v>
      </c>
      <c r="F7" s="101">
        <f>G7-1%</f>
        <v>7.2800000000000004E-2</v>
      </c>
      <c r="G7" s="101">
        <v>8.2799999999999999E-2</v>
      </c>
      <c r="H7" s="101">
        <f>G7+1%</f>
        <v>9.2799999999999994E-2</v>
      </c>
      <c r="I7" s="101">
        <f>H7+1%</f>
        <v>0.10279999999999999</v>
      </c>
      <c r="K7" s="79"/>
    </row>
    <row r="8" spans="1:17" x14ac:dyDescent="0.3">
      <c r="B8" s="131" t="s">
        <v>103</v>
      </c>
      <c r="C8" s="87"/>
      <c r="D8" s="93">
        <f>D9-0.5%</f>
        <v>3.0000000000000002E-2</v>
      </c>
      <c r="E8" s="95">
        <v>2118.56</v>
      </c>
      <c r="F8" s="95">
        <v>1629</v>
      </c>
      <c r="G8" s="95">
        <v>1324.99</v>
      </c>
      <c r="H8" s="95">
        <v>1117.8900000000001</v>
      </c>
      <c r="I8" s="97">
        <v>967.75</v>
      </c>
      <c r="K8" s="26"/>
    </row>
    <row r="9" spans="1:17" ht="15" thickBot="1" x14ac:dyDescent="0.35">
      <c r="B9" s="131"/>
      <c r="C9" s="87"/>
      <c r="D9" s="93">
        <f>D10-0.5%</f>
        <v>3.5000000000000003E-2</v>
      </c>
      <c r="E9" s="95">
        <v>2451.21</v>
      </c>
      <c r="F9" s="133">
        <v>1809.6</v>
      </c>
      <c r="G9" s="133">
        <v>1436.54</v>
      </c>
      <c r="H9" s="133">
        <v>1192.6500000000001</v>
      </c>
      <c r="I9" s="97">
        <v>1020.76</v>
      </c>
    </row>
    <row r="10" spans="1:17" ht="15" thickBot="1" x14ac:dyDescent="0.35">
      <c r="B10" s="131"/>
      <c r="C10" s="91" t="s">
        <v>104</v>
      </c>
      <c r="D10" s="93">
        <v>0.04</v>
      </c>
      <c r="E10" s="95">
        <v>2929.77</v>
      </c>
      <c r="F10" s="133">
        <v>2045.25</v>
      </c>
      <c r="G10" s="104">
        <v>1574.15</v>
      </c>
      <c r="H10" s="133">
        <v>1281.57</v>
      </c>
      <c r="I10" s="97">
        <v>1082.22</v>
      </c>
    </row>
    <row r="11" spans="1:17" x14ac:dyDescent="0.3">
      <c r="B11" s="131"/>
      <c r="C11" s="88"/>
      <c r="D11" s="93">
        <f>D10+0.5%</f>
        <v>4.4999999999999998E-2</v>
      </c>
      <c r="E11" s="95">
        <v>3677.18</v>
      </c>
      <c r="F11" s="133">
        <v>2365.6799999999998</v>
      </c>
      <c r="G11" s="133">
        <v>1748.17</v>
      </c>
      <c r="H11" s="133">
        <v>1389.09</v>
      </c>
      <c r="I11" s="97">
        <v>1154.3</v>
      </c>
    </row>
    <row r="12" spans="1:17" ht="15" thickBot="1" x14ac:dyDescent="0.35">
      <c r="B12" s="132"/>
      <c r="C12" s="85"/>
      <c r="D12" s="94">
        <f>D11+0.5%</f>
        <v>4.9999999999999996E-2</v>
      </c>
      <c r="E12" s="96">
        <v>5008.51</v>
      </c>
      <c r="F12" s="96">
        <v>2826.64</v>
      </c>
      <c r="G12" s="96">
        <v>1975.24</v>
      </c>
      <c r="H12" s="96">
        <v>1521.73</v>
      </c>
      <c r="I12" s="98">
        <v>1240.04</v>
      </c>
    </row>
  </sheetData>
  <mergeCells count="3">
    <mergeCell ref="B8:B12"/>
    <mergeCell ref="E5:I5"/>
    <mergeCell ref="A1:Q2"/>
  </mergeCells>
  <conditionalFormatting sqref="E8:I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Historical Data</vt:lpstr>
      <vt:lpstr>Assumptions</vt:lpstr>
      <vt:lpstr>Forecast</vt:lpstr>
      <vt:lpstr>WACC</vt:lpstr>
      <vt:lpstr>Valuation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Jadhav</dc:creator>
  <cp:lastModifiedBy>Mayuresh Jadhav</cp:lastModifiedBy>
  <dcterms:created xsi:type="dcterms:W3CDTF">2025-11-23T05:58:37Z</dcterms:created>
  <dcterms:modified xsi:type="dcterms:W3CDTF">2025-11-24T18:51:03Z</dcterms:modified>
</cp:coreProperties>
</file>