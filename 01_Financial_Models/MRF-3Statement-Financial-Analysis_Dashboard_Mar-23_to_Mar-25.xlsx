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HARADA JADHAV\OneDrive\Desktop\"/>
    </mc:Choice>
  </mc:AlternateContent>
  <xr:revisionPtr revIDLastSave="0" documentId="13_ncr:1_{F396B58F-07E0-4A68-B2A7-BE542EBDC2EF}" xr6:coauthVersionLast="47" xr6:coauthVersionMax="47" xr10:uidLastSave="{00000000-0000-0000-0000-000000000000}"/>
  <bookViews>
    <workbookView xWindow="-108" yWindow="-108" windowWidth="23256" windowHeight="12456" tabRatio="897" xr2:uid="{421FBAA7-2677-466C-8CF9-E7B6527E675E}"/>
  </bookViews>
  <sheets>
    <sheet name="Dashboard" sheetId="10" r:id="rId1"/>
    <sheet name="DATA SHEET" sheetId="1" r:id="rId2"/>
    <sheet name="Profit and loss" sheetId="2" r:id="rId3"/>
    <sheet name="Balance Sheet" sheetId="3" r:id="rId4"/>
    <sheet name="Cash Flow" sheetId="4" r:id="rId5"/>
    <sheet name="Analysis" sheetId="9" r:id="rId6"/>
    <sheet name="Balance Sheet Detailed" sheetId="8" r:id="rId7"/>
  </sheets>
  <definedNames>
    <definedName name="_xlchart.v1.0" hidden="1">'Cash Flow'!$B$29:$B$32</definedName>
    <definedName name="_xlchart.v1.1" hidden="1">'Cash Flow'!$C$28</definedName>
    <definedName name="_xlchart.v1.2" hidden="1">'Cash Flow'!$C$29:$C$32</definedName>
    <definedName name="_xlcn.WorksheetConnection_MRFDAEPfinalformatingtoparth.xlsxTable1" hidden="1">Table1[]</definedName>
    <definedName name="Slicer_Metric">#N/A</definedName>
    <definedName name="Slicer_Year__Year">#N/A</definedName>
  </definedNames>
  <calcPr calcId="191029"/>
  <pivotCaches>
    <pivotCache cacheId="0" r:id="rId8"/>
    <pivotCache cacheId="129" r:id="rId9"/>
    <pivotCache cacheId="132" r:id="rId10"/>
    <pivotCache cacheId="135" r:id="rId11"/>
    <pivotCache cacheId="138" r:id="rId12"/>
    <pivotCache cacheId="141"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RFDAEP final formating to parth.xlsx!Table1"/>
        </x15:modelTables>
        <x15:extLst>
          <ext xmlns:x16="http://schemas.microsoft.com/office/spreadsheetml/2014/11/main" uri="{9835A34E-60A6-4A7C-AAB8-D5F71C897F49}">
            <x16:modelTimeGroupings>
              <x16:modelTimeGrouping tableName="Table1" columnName="Year" columnId="Year">
                <x16:calculatedTimeColumn columnName="Year (Year)" columnId="Year (Year)" contentType="years" isSelected="1"/>
                <x16:calculatedTimeColumn columnName="Year (Quarter)" columnId="Year (Quarter)" contentType="quarters" isSelected="1"/>
                <x16:calculatedTimeColumn columnName="Year (Month Index)" columnId="Year (Month Index)" contentType="monthsindex" isSelected="1"/>
                <x16:calculatedTimeColumn columnName="Year (Month)" columnId="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 l="1"/>
  <c r="D4" i="4"/>
  <c r="C48" i="1"/>
  <c r="D48" i="1"/>
  <c r="B48" i="1"/>
  <c r="A111" i="9"/>
  <c r="A112" i="9"/>
  <c r="A113" i="9"/>
  <c r="A108" i="9"/>
  <c r="A109" i="9"/>
  <c r="A110" i="9"/>
  <c r="A105" i="9"/>
  <c r="A106" i="9"/>
  <c r="A107" i="9"/>
  <c r="A102" i="9"/>
  <c r="A103" i="9"/>
  <c r="A104" i="9"/>
  <c r="B4" i="2"/>
  <c r="A101" i="9"/>
  <c r="A100" i="9"/>
  <c r="A99" i="9"/>
  <c r="B97" i="9"/>
  <c r="B98" i="9"/>
  <c r="B96" i="9"/>
  <c r="A98" i="9"/>
  <c r="A85" i="9"/>
  <c r="A97" i="9"/>
  <c r="A70" i="9"/>
  <c r="A96" i="9"/>
  <c r="A47" i="9"/>
  <c r="B14" i="9" s="1"/>
  <c r="A78" i="9"/>
  <c r="A79" i="9"/>
  <c r="A80" i="9"/>
  <c r="A81" i="9"/>
  <c r="A82" i="9"/>
  <c r="A83" i="9"/>
  <c r="A84" i="9"/>
  <c r="A86" i="9"/>
  <c r="A87" i="9"/>
  <c r="A88" i="9"/>
  <c r="A89" i="9"/>
  <c r="A90" i="9"/>
  <c r="A91" i="9"/>
  <c r="A77" i="9"/>
  <c r="D14" i="9"/>
  <c r="A63" i="9"/>
  <c r="A64" i="9"/>
  <c r="A65" i="9"/>
  <c r="A66" i="9"/>
  <c r="A67" i="9"/>
  <c r="A68" i="9"/>
  <c r="A69" i="9"/>
  <c r="A71" i="9"/>
  <c r="A72" i="9"/>
  <c r="A73" i="9"/>
  <c r="A74" i="9"/>
  <c r="A75" i="9"/>
  <c r="A76" i="9"/>
  <c r="A62" i="9"/>
  <c r="C14" i="9"/>
  <c r="A48" i="9"/>
  <c r="A49" i="9"/>
  <c r="A50" i="9"/>
  <c r="A51" i="9"/>
  <c r="A52" i="9"/>
  <c r="A53" i="9"/>
  <c r="A54" i="9"/>
  <c r="A55" i="9"/>
  <c r="A56" i="9"/>
  <c r="A57" i="9"/>
  <c r="A58" i="9"/>
  <c r="A59" i="9"/>
  <c r="A60" i="9"/>
  <c r="A61" i="9"/>
  <c r="J28" i="10" a="1"/>
  <c r="J28" i="10" l="1"/>
  <c r="A28" i="10" s="1"/>
  <c r="C5" i="4"/>
  <c r="C103" i="9" s="1"/>
  <c r="D5" i="4"/>
  <c r="C104" i="9" s="1"/>
  <c r="C6" i="4"/>
  <c r="C106" i="9" s="1"/>
  <c r="D6" i="4"/>
  <c r="C107" i="9" s="1"/>
  <c r="C7" i="4"/>
  <c r="C109" i="9" s="1"/>
  <c r="D7" i="4"/>
  <c r="C110" i="9" s="1"/>
  <c r="C8" i="4"/>
  <c r="C112" i="9" s="1"/>
  <c r="D8" i="4"/>
  <c r="C113" i="9" s="1"/>
  <c r="B4" i="4"/>
  <c r="B4" i="3"/>
  <c r="C4" i="3"/>
  <c r="D4" i="3"/>
  <c r="B5" i="3"/>
  <c r="C5" i="3"/>
  <c r="D5" i="3"/>
  <c r="B6" i="3"/>
  <c r="C6" i="3"/>
  <c r="D6" i="3"/>
  <c r="B7" i="3"/>
  <c r="C7" i="3"/>
  <c r="D7" i="3"/>
  <c r="B8" i="3"/>
  <c r="C8" i="3"/>
  <c r="D8" i="3"/>
  <c r="D17" i="3" s="1"/>
  <c r="B9" i="3"/>
  <c r="C9" i="3"/>
  <c r="D9" i="3"/>
  <c r="F10" i="3"/>
  <c r="B11" i="3"/>
  <c r="C11" i="3"/>
  <c r="D11" i="3"/>
  <c r="B12" i="3"/>
  <c r="C12" i="3"/>
  <c r="D12" i="3"/>
  <c r="B13" i="3"/>
  <c r="C13" i="3"/>
  <c r="D13" i="3"/>
  <c r="B14" i="3"/>
  <c r="C14" i="3"/>
  <c r="D14" i="3"/>
  <c r="B15" i="3"/>
  <c r="C15" i="3"/>
  <c r="D15" i="3"/>
  <c r="F16" i="3"/>
  <c r="B17" i="3"/>
  <c r="C17" i="3"/>
  <c r="B18" i="3"/>
  <c r="C18" i="3"/>
  <c r="D18" i="3"/>
  <c r="B19" i="3"/>
  <c r="C19" i="3"/>
  <c r="C22" i="3" s="1"/>
  <c r="D19" i="3"/>
  <c r="B27" i="3"/>
  <c r="B19" i="9" s="1"/>
  <c r="C51" i="9" s="1"/>
  <c r="E28" i="9"/>
  <c r="C87" i="9" s="1"/>
  <c r="D28" i="9"/>
  <c r="D29" i="9"/>
  <c r="E29" i="9"/>
  <c r="C32" i="9"/>
  <c r="C29" i="9"/>
  <c r="C28" i="9"/>
  <c r="D25" i="9"/>
  <c r="E25" i="9"/>
  <c r="C84" i="9" s="1"/>
  <c r="D26" i="9"/>
  <c r="E26" i="9"/>
  <c r="C85" i="9" s="1"/>
  <c r="D27" i="9"/>
  <c r="E27" i="9"/>
  <c r="C27" i="9"/>
  <c r="C26" i="9"/>
  <c r="C25" i="9"/>
  <c r="D24" i="9"/>
  <c r="E24" i="9"/>
  <c r="C24" i="9"/>
  <c r="F18" i="2"/>
  <c r="F19" i="2"/>
  <c r="C15" i="9"/>
  <c r="C62" i="9" s="1"/>
  <c r="D15" i="9"/>
  <c r="C77" i="9" s="1"/>
  <c r="B15" i="9"/>
  <c r="C47" i="9" s="1"/>
  <c r="C9" i="9"/>
  <c r="B9" i="9"/>
  <c r="A6" i="4"/>
  <c r="A7" i="4"/>
  <c r="A8" i="4"/>
  <c r="A5" i="4"/>
  <c r="A5" i="2"/>
  <c r="C4" i="2"/>
  <c r="D4" i="2"/>
  <c r="A3" i="2"/>
  <c r="B24" i="2"/>
  <c r="C29" i="2"/>
  <c r="D29" i="2"/>
  <c r="C30" i="2"/>
  <c r="D30" i="2"/>
  <c r="B30" i="2"/>
  <c r="B29" i="2"/>
  <c r="C11" i="1"/>
  <c r="D11" i="1"/>
  <c r="B11" i="1"/>
  <c r="B5" i="2"/>
  <c r="B21" i="3" s="1"/>
  <c r="B5" i="4"/>
  <c r="C102" i="9" s="1"/>
  <c r="B6" i="4"/>
  <c r="C105" i="9" s="1"/>
  <c r="B7" i="4"/>
  <c r="C108" i="9" s="1"/>
  <c r="B8" i="4"/>
  <c r="C111" i="9" s="1"/>
  <c r="C24" i="2"/>
  <c r="D24" i="2"/>
  <c r="C17" i="2"/>
  <c r="C20" i="2" s="1"/>
  <c r="D17" i="2"/>
  <c r="D20" i="2" s="1"/>
  <c r="B17" i="2"/>
  <c r="C10" i="2"/>
  <c r="D10" i="2"/>
  <c r="C11" i="2"/>
  <c r="D11" i="2"/>
  <c r="C12" i="2"/>
  <c r="D12" i="2"/>
  <c r="C13" i="2"/>
  <c r="D13" i="2"/>
  <c r="C14" i="2"/>
  <c r="D14" i="2"/>
  <c r="B11" i="2"/>
  <c r="B12" i="2"/>
  <c r="B13" i="2"/>
  <c r="B14" i="2"/>
  <c r="B10" i="2"/>
  <c r="C8" i="2"/>
  <c r="D8" i="2"/>
  <c r="B8" i="2"/>
  <c r="C6" i="2"/>
  <c r="D6" i="2"/>
  <c r="B6" i="2"/>
  <c r="D5" i="2"/>
  <c r="C101" i="9" s="1"/>
  <c r="C5" i="2"/>
  <c r="A1" i="2"/>
  <c r="C55" i="9" l="1"/>
  <c r="C70" i="9"/>
  <c r="F29" i="9"/>
  <c r="C88" i="9"/>
  <c r="C56" i="9"/>
  <c r="C71" i="9"/>
  <c r="F27" i="9"/>
  <c r="C86" i="9"/>
  <c r="F1" i="10"/>
  <c r="F26" i="9"/>
  <c r="F25" i="9"/>
  <c r="F28" i="9"/>
  <c r="C57" i="9"/>
  <c r="C72" i="9"/>
  <c r="C58" i="9"/>
  <c r="C73" i="9"/>
  <c r="C54" i="9"/>
  <c r="C69" i="9"/>
  <c r="F15" i="9"/>
  <c r="G15" i="9" s="1"/>
  <c r="C92" i="9" s="1"/>
  <c r="D15" i="2"/>
  <c r="C98" i="9"/>
  <c r="B8" i="9"/>
  <c r="C97" i="9"/>
  <c r="D27" i="3"/>
  <c r="D19" i="9" s="1"/>
  <c r="C81" i="9" s="1"/>
  <c r="C8" i="9"/>
  <c r="C7" i="9"/>
  <c r="C61" i="9"/>
  <c r="C76" i="9"/>
  <c r="D21" i="3"/>
  <c r="B7" i="9"/>
  <c r="C99" i="9"/>
  <c r="E32" i="9"/>
  <c r="C91" i="9" s="1"/>
  <c r="B15" i="2"/>
  <c r="B16" i="2" s="1"/>
  <c r="C96" i="9"/>
  <c r="B17" i="9"/>
  <c r="C49" i="9" s="1"/>
  <c r="D1" i="10"/>
  <c r="D17" i="9"/>
  <c r="C79" i="9" s="1"/>
  <c r="C21" i="3"/>
  <c r="C100" i="9"/>
  <c r="F12" i="2"/>
  <c r="F6" i="2"/>
  <c r="F9" i="3"/>
  <c r="F14" i="2"/>
  <c r="F9" i="9" s="1"/>
  <c r="F6" i="3"/>
  <c r="F19" i="3"/>
  <c r="F15" i="3"/>
  <c r="F8" i="3"/>
  <c r="F12" i="3"/>
  <c r="F10" i="2"/>
  <c r="F5" i="3"/>
  <c r="F11" i="2"/>
  <c r="F8" i="2"/>
  <c r="C10" i="9"/>
  <c r="F13" i="2"/>
  <c r="F17" i="2"/>
  <c r="F8" i="9" s="1"/>
  <c r="C25" i="3"/>
  <c r="F11" i="3"/>
  <c r="C17" i="9"/>
  <c r="C64" i="9" s="1"/>
  <c r="B20" i="2"/>
  <c r="F18" i="3"/>
  <c r="B25" i="3"/>
  <c r="F13" i="3"/>
  <c r="C27" i="3"/>
  <c r="C19" i="9" s="1"/>
  <c r="C66" i="9" s="1"/>
  <c r="F17" i="3"/>
  <c r="F5" i="2"/>
  <c r="F6" i="9" s="1"/>
  <c r="Q1" i="10" s="1"/>
  <c r="D32" i="9"/>
  <c r="D22" i="3"/>
  <c r="C1" i="10"/>
  <c r="F7" i="3"/>
  <c r="B22" i="3"/>
  <c r="F14" i="3"/>
  <c r="D25" i="3"/>
  <c r="D24" i="3"/>
  <c r="D18" i="9" s="1"/>
  <c r="C24" i="3"/>
  <c r="C18" i="9" s="1"/>
  <c r="C65" i="9" s="1"/>
  <c r="B24" i="3"/>
  <c r="B18" i="9" s="1"/>
  <c r="C50" i="9" s="1"/>
  <c r="C31" i="2"/>
  <c r="D31" i="2"/>
  <c r="B31" i="2"/>
  <c r="D16" i="2"/>
  <c r="D21" i="9" s="1"/>
  <c r="C83" i="9" s="1"/>
  <c r="C7" i="2"/>
  <c r="C9" i="2" s="1"/>
  <c r="C20" i="9" s="1"/>
  <c r="C67" i="9" s="1"/>
  <c r="B7" i="2"/>
  <c r="B9" i="2" s="1"/>
  <c r="D7" i="2"/>
  <c r="A1" i="3"/>
  <c r="A1" i="4" s="1"/>
  <c r="C15" i="2"/>
  <c r="C16" i="2" s="1"/>
  <c r="C21" i="9" s="1"/>
  <c r="C68" i="9" s="1"/>
  <c r="B2" i="1"/>
  <c r="F32" i="9" l="1"/>
  <c r="I15" i="9"/>
  <c r="C94" i="9" s="1"/>
  <c r="H15" i="9"/>
  <c r="C93" i="9" s="1"/>
  <c r="J15" i="9"/>
  <c r="C95" i="9" s="1"/>
  <c r="A93" i="9"/>
  <c r="A95" i="9"/>
  <c r="A92" i="9"/>
  <c r="A94" i="9"/>
  <c r="F15" i="2"/>
  <c r="E1" i="10"/>
  <c r="C80" i="9"/>
  <c r="D9" i="2"/>
  <c r="D20" i="9" s="1"/>
  <c r="C82" i="9" s="1"/>
  <c r="B20" i="9"/>
  <c r="C52" i="9" s="1"/>
  <c r="F9" i="2"/>
  <c r="F7" i="9" s="1"/>
  <c r="B25" i="2"/>
  <c r="B16" i="9" s="1"/>
  <c r="C48" i="9" s="1"/>
  <c r="C31" i="9"/>
  <c r="F7" i="2"/>
  <c r="C25" i="2"/>
  <c r="C16" i="9" s="1"/>
  <c r="C63" i="9" s="1"/>
  <c r="D30" i="9"/>
  <c r="D31" i="9"/>
  <c r="B10" i="9"/>
  <c r="F20" i="2"/>
  <c r="F10" i="9" s="1"/>
  <c r="F16" i="2"/>
  <c r="B21" i="9"/>
  <c r="C53" i="9" s="1"/>
  <c r="C30" i="9"/>
  <c r="D25" i="2"/>
  <c r="D16" i="9" s="1"/>
  <c r="C78" i="9" s="1"/>
  <c r="E31" i="9"/>
  <c r="B37" i="2"/>
  <c r="B28" i="4" l="1" a="1"/>
  <c r="B28" i="4" s="1"/>
  <c r="C60" i="9"/>
  <c r="C75" i="9"/>
  <c r="F31" i="9"/>
  <c r="C90" i="9"/>
  <c r="C74" i="9"/>
  <c r="C59" i="9"/>
  <c r="E30" i="9"/>
  <c r="C89" i="9" s="1"/>
  <c r="B36" i="2"/>
  <c r="F3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tc={02BEA39F-3D13-4CF6-BF6E-0577A70BCDCD}</author>
    <author>tc={C6F2FE02-9677-455B-9B9A-D2CD491E126C}</author>
  </authors>
  <commentList>
    <comment ref="A15" authorId="0" shapeId="0" xr:uid="{02BEA39F-3D13-4CF6-BF6E-0577A70BCDCD}">
      <text>
        <t>[Threaded comment]
Your version of Excel allows you to read this threaded comment; however, any edits to it will get removed if the file is opened in a newer version of Excel. Learn more: https://go.microsoft.com/fwlink/?linkid=870924
Comment:
    Not in Cr.</t>
      </text>
    </comment>
    <comment ref="A17" authorId="1" shapeId="0" xr:uid="{C6F2FE02-9677-455B-9B9A-D2CD491E126C}">
      <text>
        <t>[Threaded comment]
Your version of Excel allows you to read this threaded comment; however, any edits to it will get removed if the file is opened in a newer version of Excel. Learn more: https://go.microsoft.com/fwlink/?linkid=870924
Comment:
    Not in Cr.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tc={BFCE15A2-E5D8-42F6-BB69-972C2A55BA90}</author>
  </authors>
  <commentList>
    <comment ref="B27" authorId="0" shapeId="0" xr:uid="{BFCE15A2-E5D8-42F6-BB69-972C2A55BA90}">
      <text>
        <t>[Threaded comment]
Your version of Excel allows you to read this threaded comment; however, any edits to it will get removed if the file is opened in a newer version of Excel. Learn more: https://go.microsoft.com/fwlink/?linkid=870924
Comment:
    Calculation is done using only the given years Total Assets whereas other ROA’s are calculated using Average Total Assets.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tc={72CAEA35-6A3F-49E1-8F80-693A4562AA41}</author>
  </authors>
  <commentList>
    <comment ref="B19" authorId="0" shapeId="0" xr:uid="{72CAEA35-6A3F-49E1-8F80-693A4562AA41}">
      <text>
        <t>[Threaded comment]
Your version of Excel allows you to read this threaded comment; however, any edits to it will get removed if the file is opened in a newer version of Excel. Learn more: https://go.microsoft.com/fwlink/?linkid=870924
Comment:
    Calculation is done using only the given years Total Assets whereas other ROA’s are calculated using Average Total Assets.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32CBBE-F3AA-46F8-BBCA-8A6F72608CDE}" keepAlive="1" name="Query - Table117 (Page 80)" description="Connection to the 'Table117 (Page 80)' query in the workbook." type="5" refreshedVersion="8" background="1" saveData="1">
    <dbPr connection="Provider=Microsoft.Mashup.OleDb.1;Data Source=$Workbook$;Location=&quot;Table117 (Page 80)&quot;;Extended Properties=&quot;&quot;" command="SELECT * FROM [Table117 (Page 80)]"/>
  </connection>
  <connection id="2" xr16:uid="{84145ADC-950D-48C4-BDA7-C53368BD9B3E}" keepAlive="1" name="Query - Table133 (Page 78)" description="Connection to the 'Table133 (Page 78)' query in the workbook." type="5" refreshedVersion="8" background="1" saveData="1">
    <dbPr connection="Provider=Microsoft.Mashup.OleDb.1;Data Source=$Workbook$;Location=&quot;Table133 (Page 78)&quot;;Extended Properties=&quot;&quot;" command="SELECT * FROM [Table133 (Page 78)]"/>
  </connection>
  <connection id="3" xr16:uid="{38E9897B-C36D-48C3-B219-350D0743D9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7D4B88A-9545-4464-9B5C-DDEB5ED446FF}" name="WorksheetConnection_MRFDAEP final formating to parth.xlsx!Table1" type="102" refreshedVersion="8" minRefreshableVersion="5">
    <extLst>
      <ext xmlns:x15="http://schemas.microsoft.com/office/spreadsheetml/2010/11/main" uri="{DE250136-89BD-433C-8126-D09CA5730AF9}">
        <x15:connection id="Table1">
          <x15:rangePr sourceName="_xlcn.WorksheetConnection_MRFDAEPfinalformatingtoparth.xlsxTable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Table1].[Year (Year)].&amp;[2025]"/>
  </metadataStrings>
  <mdxMetadata count="1">
    <mdx n="0" f="r">
      <t c="1">
        <n x="1"/>
      </t>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<sst xmlns="http://schemas.openxmlformats.org/spreadsheetml/2006/main" count="317" uniqueCount="171">
  <si>
    <t>COMPANY NAME</t>
  </si>
  <si>
    <t>Number of shares</t>
  </si>
  <si>
    <t>Face Value</t>
  </si>
  <si>
    <t>Current Price</t>
  </si>
  <si>
    <t>Market Capitalization</t>
  </si>
  <si>
    <t>(in Crs)</t>
  </si>
  <si>
    <t>MRF LTD</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</si>
  <si>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</si>
  <si>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</si>
  <si>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</si>
  <si>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</si>
  <si>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</si>
  <si>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</si>
  <si>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</si>
  <si>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</si>
  <si>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</si>
  <si>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</si>
  <si>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</si>
  <si>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</si>
  <si>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</si>
  <si>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</si>
  <si>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</si>
  <si>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</si>
  <si>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</si>
  <si>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</si>
  <si>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</si>
  <si>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</si>
  <si>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</si>
  <si>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</si>
  <si>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</si>
  <si>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</si>
  <si>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</si>
  <si>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</si>
  <si>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</si>
  <si>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</si>
  <si>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</si>
  <si>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</si>
  <si>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</si>
  <si>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</si>
  <si>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</si>
  <si>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</si>
  <si>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</si>
  <si>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</si>
  <si>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</si>
  <si>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</si>
  <si>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</si>
  <si>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</si>
  <si>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DERIVED:</t>
  </si>
  <si>
    <t>Adjusted Equity Shares in Cr</t>
  </si>
  <si>
    <t>All the values are in Crs</t>
  </si>
  <si>
    <t>Narration</t>
  </si>
  <si>
    <t>EPS</t>
  </si>
  <si>
    <t>Price to earning</t>
  </si>
  <si>
    <t>RATIOS:</t>
  </si>
  <si>
    <t>Dividend Payout</t>
  </si>
  <si>
    <t>OPM</t>
  </si>
  <si>
    <t>(Operating Profit Margin)</t>
  </si>
  <si>
    <t>3 YEARS</t>
  </si>
  <si>
    <t>Sales Growth</t>
  </si>
  <si>
    <t>Price to Earning</t>
  </si>
  <si>
    <t>Working Capital</t>
  </si>
  <si>
    <t>Debtors</t>
  </si>
  <si>
    <t>Debtor Days</t>
  </si>
  <si>
    <t>Inventory Turnover</t>
  </si>
  <si>
    <t>Return on Equity</t>
  </si>
  <si>
    <t>Return on Capital Employed</t>
  </si>
  <si>
    <t>EBIT/(Total Assets-Current Liabilities)</t>
  </si>
  <si>
    <t>YoY Growth</t>
  </si>
  <si>
    <t>2022-23 to 2023-24</t>
  </si>
  <si>
    <t>2023-24 to 2024-25</t>
  </si>
  <si>
    <t>Revenue</t>
  </si>
  <si>
    <t>Assets</t>
  </si>
  <si>
    <t>Equity</t>
  </si>
  <si>
    <t>Profit &amp; Loss Statement</t>
  </si>
  <si>
    <t>Balance Sheet</t>
  </si>
  <si>
    <t>GROWTH ANALYSIS</t>
  </si>
  <si>
    <t>Gross Profit Margin</t>
  </si>
  <si>
    <t>Operating Profit Margin</t>
  </si>
  <si>
    <t>Net Profit Margin</t>
  </si>
  <si>
    <t>ROE</t>
  </si>
  <si>
    <t>ROA</t>
  </si>
  <si>
    <t>CAGR</t>
  </si>
  <si>
    <t>Net Profit</t>
  </si>
  <si>
    <t>Gross Profit</t>
  </si>
  <si>
    <t>Return on Assets</t>
  </si>
  <si>
    <t>No. of Years</t>
  </si>
  <si>
    <t>Market Cap</t>
  </si>
  <si>
    <t>(Total Equity)</t>
  </si>
  <si>
    <t>Total Equity</t>
  </si>
  <si>
    <t>Share Price</t>
  </si>
  <si>
    <t>SHARE PRICE (not in Cr):</t>
  </si>
  <si>
    <t>Liquidity &amp; Solvency Ratios</t>
  </si>
  <si>
    <t>Current Ratio</t>
  </si>
  <si>
    <t>Quick Ratio</t>
  </si>
  <si>
    <t>Cash Ratio</t>
  </si>
  <si>
    <t>Liquidity</t>
  </si>
  <si>
    <t>As at 31.03.2023</t>
  </si>
  <si>
    <t>Property, Plant and Equipment</t>
  </si>
  <si>
    <t>Capital Work-in-Progress</t>
  </si>
  <si>
    <t>- Investments</t>
  </si>
  <si>
    <t>- Loans</t>
  </si>
  <si>
    <t>- Other Financial Assets</t>
  </si>
  <si>
    <t>Non Current Tax Asset (Net)</t>
  </si>
  <si>
    <t>Inventories</t>
  </si>
  <si>
    <t>- Trade Receivables</t>
  </si>
  <si>
    <t>- Cash and Cash Equivalents</t>
  </si>
  <si>
    <t>- Bank Balances other than Cash and Cash Equivalents</t>
  </si>
  <si>
    <t>Other Current Assets</t>
  </si>
  <si>
    <t>TOTAL ASSETS</t>
  </si>
  <si>
    <t>Other Equity</t>
  </si>
  <si>
    <t>- Other Financial Liabilities</t>
  </si>
  <si>
    <t>Provisions</t>
  </si>
  <si>
    <t>Deferred Tax Liabilities (Net)</t>
  </si>
  <si>
    <t>(B) total outstanding dues of creditors other than micro enterprises and small enterprises</t>
  </si>
  <si>
    <t>Other Current Liabilities</t>
  </si>
  <si>
    <t>Total Liabilities</t>
  </si>
  <si>
    <t>As at 31.03.2024</t>
  </si>
  <si>
    <t>Right of Use Assets</t>
  </si>
  <si>
    <t>Other Intangible Assets
Financial Assets</t>
  </si>
  <si>
    <t>Other Non-current Assets
Current Assets</t>
  </si>
  <si>
    <t>Financial Assets
- Investments</t>
  </si>
  <si>
    <t>EQUITy AND LIABILITIES
EQUITy
Share Capital</t>
  </si>
  <si>
    <t>Other Non-current Liabilities
Current Liabilities
Financial Liabilities</t>
  </si>
  <si>
    <t>(A) total outstanding dues of micro enterprises and small enterprises;</t>
  </si>
  <si>
    <t>TOTAL EQUITy AND LIABILITIES</t>
  </si>
  <si>
    <t xml:space="preserve"> </t>
  </si>
  <si>
    <t>As at 31.03.2025</t>
  </si>
  <si>
    <t xml:space="preserve">
Non-Current Assets</t>
  </si>
  <si>
    <t>Current Assets</t>
  </si>
  <si>
    <t>Non-current Liabilities</t>
  </si>
  <si>
    <t>Liabilities</t>
  </si>
  <si>
    <t>Lease Liability</t>
  </si>
  <si>
    <t>Current Liabilities</t>
  </si>
  <si>
    <t>Trade Payables</t>
  </si>
  <si>
    <t>Solvency</t>
  </si>
  <si>
    <t>Interest coverage ratio</t>
  </si>
  <si>
    <t>Net income to liabilities</t>
  </si>
  <si>
    <t>Times interest earned </t>
  </si>
  <si>
    <t>Debt to total assets</t>
  </si>
  <si>
    <t>Debt to Equity</t>
  </si>
  <si>
    <t xml:space="preserve"> PROFITABILITY ANALYSIS</t>
  </si>
  <si>
    <t>Analysis</t>
  </si>
  <si>
    <t>Cashflow Statement</t>
  </si>
  <si>
    <t>PAT</t>
  </si>
  <si>
    <t>EV/EBITDA</t>
  </si>
  <si>
    <t>P/E Ratio</t>
  </si>
  <si>
    <t xml:space="preserve">EBITDA </t>
  </si>
  <si>
    <t>EBITDA</t>
  </si>
  <si>
    <t>Year</t>
  </si>
  <si>
    <t>CFO</t>
  </si>
  <si>
    <t>CFI</t>
  </si>
  <si>
    <t>CFF</t>
  </si>
  <si>
    <t>Net CF</t>
  </si>
  <si>
    <t>DASHBOARD</t>
  </si>
  <si>
    <t>CAGR:</t>
  </si>
  <si>
    <t>Helper Table</t>
  </si>
  <si>
    <t>Row Labels</t>
  </si>
  <si>
    <t>Grand Total</t>
  </si>
  <si>
    <t>Metric</t>
  </si>
  <si>
    <t>Value</t>
  </si>
  <si>
    <t>2025</t>
  </si>
  <si>
    <t>Sum of Value</t>
  </si>
  <si>
    <t>Column Labels</t>
  </si>
  <si>
    <t>Years</t>
  </si>
  <si>
    <t>Master Table</t>
  </si>
  <si>
    <t>CFO1</t>
  </si>
  <si>
    <t>CFI2</t>
  </si>
  <si>
    <t>CFF3</t>
  </si>
  <si>
    <t>Net Cash Flow4</t>
  </si>
  <si>
    <t>Year:</t>
  </si>
  <si>
    <t>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</si>
</sst>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409]mmm\-yy;@"/>
    <numFmt numFmtId="165" formatCode="_(* #,##0.00_);_(* \(#,##0.00\);_(* &quot;-&quot;??_);_(@_)"/>
    <numFmt numFmtId="166" formatCode="0.0%"/>
    <numFmt numFmtId="167" formatCode="&quot;₹&quot;\ #,##0.00"/>
    <numFmt numFmtId="168" formatCode="[$-409]mmm/yy;@"/>
  </numFmts>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rgb="FFFFFF00"/>
      <name val="Calibri"/>
      <family val="2"/>
      <scheme val="minor"/>
    </font>
    <font>
      <sz val="11"/>
      <color rgb="FFFF0000"/>
      <name val="Calibri"/>
      <family val="2"/>
      <scheme val="minor"/>
    </font>
    <font>
      <sz val="24"/>
      <color theme="1"/>
      <name val="Calibri"/>
      <family val="2"/>
      <scheme val="minor"/>
    </font>
    <font>
      <b/>
      <sz val="24"/>
      <color rgb="FFFFFF00"/>
      <name val="Calibri"/>
      <family val="2"/>
      <scheme val="minor"/>
    </font>
    <font>
      <b/>
      <sz val="18"/>
      <color theme="0"/>
      <name val="Calibri"/>
      <family val="2"/>
      <scheme val="minor"/>
    </font>
    <font>
      <sz val="8"/>
      <name val="Calibri"/>
      <family val="2"/>
      <scheme val="minor"/>
    </font>
    <font>
      <b/>
      <sz val="11"/>
      <color rgb="FFFF0000"/>
      <name val="Calibri"/>
      <family val="2"/>
      <scheme val="minor"/>
    </font>
    <font>
      <b/>
      <sz val="20"/>
      <color theme="0"/>
      <name val="Calibri"/>
      <family val="2"/>
      <scheme val="minor"/>
    </font>
    <font>
      <b/>
      <sz val="16"/>
      <color theme="0"/>
      <name val="Calibri"/>
      <family val="2"/>
      <scheme val="minor"/>
    </font>
    <font>
      <b/>
      <sz val="12"/>
      <color theme="0"/>
      <name val="Calibri"/>
      <family val="2"/>
      <scheme val="minor"/>
    </font>
    <font>
      <b/>
      <sz val="14"/>
      <color theme="0"/>
      <name val="Calibri"/>
      <family val="2"/>
      <scheme val="minor"/>
    </font>
    <font>
      <b/>
      <sz val="20"/>
      <color theme="1"/>
      <name val="Calibri"/>
      <family val="2"/>
      <scheme val="minor"/>
    </font>
  </fonts>
  <fills count="10">
    <fill>
      <patternFill patternType="none"/>
    </fill>
    <fill>
      <patternFill patternType="gray125"/>
    </fill>
    <fill>
      <patternFill patternType="solid">
        <fgColor rgb="FF0275D8"/>
        <bgColor indexed="64"/>
      </patternFill>
    </fill>
    <fill>
      <patternFill patternType="solid">
        <fgColor rgb="FFC00000"/>
        <bgColor indexed="64"/>
      </patternFill>
    </fill>
    <fill>
      <patternFill patternType="solid">
        <fgColor theme="4"/>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249977111117893"/>
        <bgColor indexed="64"/>
      </patternFill>
    </fill>
    <fill>
      <patternFill patternType="solid">
        <fgColor theme="0" tint="-0.34998626667073579"/>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9">
    <xf numFmtId="0" fontId="0" fillId="0" borderId="0" xfId="0"/>
    <xf numFmtId="43" fontId="3" fillId="0" borderId="0" xfId="1" applyFont="1" applyBorder="1"/>
    <xf numFmtId="43" fontId="0" fillId="0" borderId="0" xfId="1" applyFont="1" applyBorder="1"/>
    <xf numFmtId="2" fontId="0" fillId="0" borderId="0" xfId="0" applyNumberFormat="1"/>
    <xf numFmtId="0" fontId="3" fillId="0" borderId="0" xfId="0" applyFont="1"/>
    <xf numFmtId="164" fontId="2" fillId="2" borderId="0" xfId="1" applyNumberFormat="1" applyFont="1" applyFill="1" applyBorder="1"/>
    <xf numFmtId="164" fontId="2" fillId="2" borderId="0" xfId="0" applyNumberFormat="1" applyFont="1" applyFill="1" applyAlignment="1">
      <alignment horizontal="center"/>
    </xf>
    <xf numFmtId="43" fontId="1" fillId="0" borderId="0" xfId="1" applyFont="1" applyBorder="1"/>
    <xf numFmtId="165" fontId="0" fillId="0" borderId="0" xfId="1" applyNumberFormat="1" applyFont="1" applyBorder="1"/>
    <xf numFmtId="0" fontId="2" fillId="4" borderId="0" xfId="0" applyFont="1" applyFill="1"/>
    <xf numFmtId="164" fontId="2" fillId="4" borderId="0" xfId="0" applyNumberFormat="1" applyFont="1" applyFill="1" applyAlignment="1">
      <alignment horizontal="center"/>
    </xf>
    <xf numFmtId="0" fontId="2" fillId="4" borderId="0" xfId="0" applyFont="1" applyFill="1" applyAlignment="1">
      <alignment horizontal="center"/>
    </xf>
    <xf numFmtId="0" fontId="3" fillId="4" borderId="0" xfId="0" applyFont="1" applyFill="1"/>
    <xf numFmtId="2" fontId="3" fillId="0" borderId="0" xfId="0" applyNumberFormat="1" applyFont="1"/>
    <xf numFmtId="166" fontId="0" fillId="0" borderId="0" xfId="2" applyNumberFormat="1" applyFont="1"/>
    <xf numFmtId="10" fontId="0" fillId="0" borderId="0" xfId="2" applyNumberFormat="1" applyFont="1"/>
    <xf numFmtId="0" fontId="2" fillId="2" borderId="0" xfId="0" applyFont="1" applyFill="1"/>
    <xf numFmtId="10" fontId="3" fillId="0" borderId="0" xfId="2" applyNumberFormat="1" applyFont="1"/>
    <xf numFmtId="0" fontId="0" fillId="0" borderId="1" xfId="0" applyBorder="1"/>
    <xf numFmtId="43" fontId="0" fillId="0" borderId="3" xfId="1" applyFont="1" applyBorder="1"/>
    <xf numFmtId="0" fontId="0" fillId="0" borderId="3" xfId="0" applyBorder="1"/>
    <xf numFmtId="0" fontId="3" fillId="0" borderId="0" xfId="0" applyFont="1" applyAlignment="1">
      <alignment vertical="center"/>
    </xf>
    <xf numFmtId="43" fontId="3" fillId="0" borderId="3" xfId="1" applyFont="1" applyBorder="1"/>
    <xf numFmtId="10" fontId="10" fillId="0" borderId="0" xfId="2" applyNumberFormat="1" applyFont="1"/>
    <xf numFmtId="0" fontId="3" fillId="0" borderId="1" xfId="0" applyFont="1" applyBorder="1"/>
    <xf numFmtId="10" fontId="0" fillId="0" borderId="1" xfId="2" applyNumberFormat="1" applyFont="1" applyBorder="1"/>
    <xf numFmtId="0" fontId="2" fillId="5" borderId="11" xfId="0" applyFont="1" applyFill="1" applyBorder="1"/>
    <xf numFmtId="0" fontId="2" fillId="5" borderId="12" xfId="0" applyFont="1" applyFill="1" applyBorder="1"/>
    <xf numFmtId="0" fontId="2" fillId="5" borderId="13" xfId="0" applyFont="1" applyFill="1" applyBorder="1"/>
    <xf numFmtId="0" fontId="3" fillId="6" borderId="11" xfId="0" applyFont="1" applyFill="1" applyBorder="1" applyAlignment="1">
      <alignment horizontal="left" wrapText="1" indent="2"/>
    </xf>
    <xf numFmtId="167" fontId="0" fillId="6" borderId="12" xfId="0" applyNumberFormat="1" applyFill="1" applyBorder="1" applyAlignment="1">
      <alignment horizontal="left" indent="1"/>
    </xf>
    <xf numFmtId="167" fontId="0" fillId="6" borderId="13" xfId="0" applyNumberFormat="1" applyFill="1" applyBorder="1" applyAlignment="1">
      <alignment horizontal="left" indent="1"/>
    </xf>
    <xf numFmtId="0" fontId="0" fillId="0" borderId="11" xfId="0" applyBorder="1" applyAlignment="1">
      <alignment horizontal="left" indent="3"/>
    </xf>
    <xf numFmtId="0" fontId="0" fillId="6" borderId="11" xfId="0" applyFill="1" applyBorder="1" applyAlignment="1">
      <alignment horizontal="left" indent="3"/>
    </xf>
    <xf numFmtId="0" fontId="3" fillId="6" borderId="11" xfId="0" applyFont="1" applyFill="1" applyBorder="1" applyAlignment="1">
      <alignment horizontal="left" indent="2"/>
    </xf>
    <xf numFmtId="0" fontId="3" fillId="0" borderId="11" xfId="0" applyFont="1" applyBorder="1" applyAlignment="1">
      <alignment horizontal="left" indent="2"/>
    </xf>
    <xf numFmtId="0" fontId="3" fillId="0" borderId="11" xfId="0" applyFont="1" applyBorder="1"/>
    <xf numFmtId="0" fontId="0" fillId="0" borderId="11" xfId="0" applyBorder="1" applyAlignment="1">
      <alignment horizontal="left" wrapText="1" indent="3"/>
    </xf>
    <xf numFmtId="0" fontId="0" fillId="6" borderId="11" xfId="0" applyFill="1" applyBorder="1" applyAlignment="1">
      <alignment horizontal="left" indent="1"/>
    </xf>
    <xf numFmtId="0" fontId="0" fillId="0" borderId="11" xfId="0" applyBorder="1" applyAlignment="1">
      <alignment horizontal="left" indent="1"/>
    </xf>
    <xf numFmtId="0" fontId="3" fillId="6" borderId="8" xfId="0" applyFont="1" applyFill="1" applyBorder="1" applyAlignment="1">
      <alignment horizontal="left" indent="1"/>
    </xf>
    <xf numFmtId="4" fontId="0" fillId="0" borderId="12" xfId="0" applyNumberFormat="1" applyBorder="1"/>
    <xf numFmtId="4" fontId="0" fillId="0" borderId="13" xfId="0" applyNumberFormat="1" applyBorder="1"/>
    <xf numFmtId="4" fontId="0" fillId="6" borderId="12" xfId="0" applyNumberFormat="1" applyFill="1" applyBorder="1"/>
    <xf numFmtId="4" fontId="0" fillId="6" borderId="13" xfId="0" applyNumberFormat="1" applyFill="1" applyBorder="1"/>
    <xf numFmtId="4" fontId="3" fillId="0" borderId="12" xfId="0" applyNumberFormat="1" applyFont="1" applyBorder="1"/>
    <xf numFmtId="4" fontId="3" fillId="0" borderId="13" xfId="0" applyNumberFormat="1" applyFont="1" applyBorder="1"/>
    <xf numFmtId="4" fontId="3" fillId="6" borderId="12" xfId="0" applyNumberFormat="1" applyFont="1" applyFill="1" applyBorder="1"/>
    <xf numFmtId="4" fontId="3" fillId="6" borderId="13" xfId="0" applyNumberFormat="1" applyFont="1" applyFill="1" applyBorder="1"/>
    <xf numFmtId="4" fontId="0" fillId="6" borderId="12" xfId="0" applyNumberFormat="1" applyFill="1" applyBorder="1" applyAlignment="1">
      <alignment horizontal="left" indent="2"/>
    </xf>
    <xf numFmtId="4" fontId="0" fillId="6" borderId="13" xfId="0" applyNumberFormat="1" applyFill="1" applyBorder="1" applyAlignment="1">
      <alignment horizontal="left" indent="2"/>
    </xf>
    <xf numFmtId="4" fontId="0" fillId="0" borderId="12" xfId="0" applyNumberFormat="1" applyBorder="1" applyAlignment="1">
      <alignment horizontal="left" indent="2"/>
    </xf>
    <xf numFmtId="4" fontId="0" fillId="0" borderId="13" xfId="0" applyNumberFormat="1" applyBorder="1" applyAlignment="1">
      <alignment horizontal="left" indent="2"/>
    </xf>
    <xf numFmtId="4" fontId="0" fillId="0" borderId="0" xfId="0" applyNumberFormat="1"/>
    <xf numFmtId="0" fontId="0" fillId="0" borderId="12" xfId="0" applyBorder="1"/>
    <xf numFmtId="0" fontId="0" fillId="0" borderId="13" xfId="0" applyBorder="1"/>
    <xf numFmtId="0" fontId="0" fillId="6" borderId="12" xfId="0" applyFill="1" applyBorder="1"/>
    <xf numFmtId="0" fontId="0" fillId="6" borderId="13" xfId="0" applyFill="1" applyBorder="1"/>
    <xf numFmtId="0" fontId="3" fillId="0" borderId="12" xfId="0" applyFont="1" applyBorder="1"/>
    <xf numFmtId="0" fontId="3" fillId="0" borderId="13" xfId="0" applyFont="1" applyBorder="1"/>
    <xf numFmtId="0" fontId="0" fillId="6" borderId="12" xfId="0" applyFill="1" applyBorder="1" applyAlignment="1">
      <alignment horizontal="left" indent="2"/>
    </xf>
    <xf numFmtId="0" fontId="0" fillId="6" borderId="13" xfId="0" applyFill="1" applyBorder="1" applyAlignment="1">
      <alignment horizontal="left" indent="2"/>
    </xf>
    <xf numFmtId="0" fontId="0" fillId="0" borderId="12" xfId="0" applyBorder="1" applyAlignment="1">
      <alignment horizontal="left" indent="2"/>
    </xf>
    <xf numFmtId="0" fontId="0" fillId="0" borderId="13" xfId="0" applyBorder="1" applyAlignment="1">
      <alignment horizontal="left" indent="2"/>
    </xf>
    <xf numFmtId="0" fontId="3" fillId="6" borderId="9" xfId="0" applyFont="1" applyFill="1" applyBorder="1"/>
    <xf numFmtId="0" fontId="3" fillId="6" borderId="10" xfId="0" applyFont="1" applyFill="1" applyBorder="1"/>
    <xf numFmtId="0" fontId="3" fillId="0" borderId="1" xfId="0" applyFont="1" applyBorder="1" applyAlignment="1">
      <alignment vertical="center"/>
    </xf>
    <xf numFmtId="10" fontId="0" fillId="0" borderId="1" xfId="0" applyNumberFormat="1" applyBorder="1" applyAlignment="1">
      <alignment vertical="center"/>
    </xf>
    <xf numFmtId="10" fontId="0" fillId="0" borderId="1" xfId="2" applyNumberFormat="1" applyFont="1" applyBorder="1" applyAlignment="1">
      <alignment vertical="center"/>
    </xf>
    <xf numFmtId="10" fontId="5" fillId="0" borderId="1" xfId="0" applyNumberFormat="1" applyFont="1" applyBorder="1" applyAlignment="1">
      <alignment vertical="center"/>
    </xf>
    <xf numFmtId="10" fontId="0" fillId="0" borderId="1" xfId="0" applyNumberFormat="1" applyBorder="1"/>
    <xf numFmtId="2" fontId="0" fillId="0" borderId="1" xfId="0" applyNumberFormat="1" applyBorder="1"/>
    <xf numFmtId="0" fontId="12" fillId="4" borderId="6" xfId="0" applyFont="1" applyFill="1" applyBorder="1" applyAlignment="1">
      <alignment horizontal="center" vertical="center"/>
    </xf>
    <xf numFmtId="0" fontId="12" fillId="4" borderId="2" xfId="0" applyFont="1" applyFill="1" applyBorder="1" applyAlignment="1">
      <alignment horizontal="center" vertical="center"/>
    </xf>
    <xf numFmtId="164" fontId="3" fillId="0" borderId="1" xfId="0" applyNumberFormat="1" applyFont="1" applyBorder="1" applyAlignment="1">
      <alignment vertical="center"/>
    </xf>
    <xf numFmtId="164" fontId="13" fillId="4" borderId="2" xfId="0" applyNumberFormat="1" applyFont="1" applyFill="1" applyBorder="1" applyAlignment="1">
      <alignment horizontal="center" vertical="center"/>
    </xf>
    <xf numFmtId="164" fontId="13" fillId="4" borderId="7" xfId="0" applyNumberFormat="1" applyFont="1" applyFill="1" applyBorder="1" applyAlignment="1">
      <alignment horizontal="center" vertical="center"/>
    </xf>
    <xf numFmtId="2" fontId="0" fillId="0" borderId="1" xfId="0" applyNumberFormat="1" applyBorder="1" applyAlignment="1">
      <alignment vertical="center"/>
    </xf>
    <xf numFmtId="0" fontId="3" fillId="0" borderId="14" xfId="0" applyFont="1" applyBorder="1"/>
    <xf numFmtId="0" fontId="0" fillId="0" borderId="14" xfId="0" applyBorder="1"/>
    <xf numFmtId="10" fontId="0" fillId="0" borderId="14" xfId="2" applyNumberFormat="1" applyFont="1" applyBorder="1"/>
    <xf numFmtId="2" fontId="3" fillId="0" borderId="14" xfId="0" applyNumberFormat="1" applyFont="1" applyBorder="1"/>
    <xf numFmtId="168" fontId="3" fillId="0" borderId="1" xfId="0" applyNumberFormat="1" applyFont="1" applyBorder="1"/>
    <xf numFmtId="0" fontId="3" fillId="0" borderId="0" xfId="0" applyFont="1" applyAlignment="1">
      <alignment horizontal="right"/>
    </xf>
    <xf numFmtId="168" fontId="0" fillId="0" borderId="0" xfId="0" applyNumberFormat="1"/>
    <xf numFmtId="0" fontId="0" fillId="4" borderId="0" xfId="0" applyFill="1"/>
    <xf numFmtId="0" fontId="14" fillId="4" borderId="0" xfId="0" applyFont="1" applyFill="1"/>
    <xf numFmtId="0" fontId="0" fillId="0" borderId="0" xfId="0" pivotButton="1"/>
    <xf numFmtId="0" fontId="0" fillId="0" borderId="0" xfId="0" applyAlignment="1">
      <alignment horizontal="left"/>
    </xf>
    <xf numFmtId="0" fontId="2" fillId="7" borderId="1" xfId="0" applyFont="1" applyFill="1" applyBorder="1"/>
    <xf numFmtId="0" fontId="6" fillId="3" borderId="0" xfId="0" applyFont="1" applyFill="1"/>
    <xf numFmtId="0" fontId="0" fillId="0" borderId="1" xfId="0" applyBorder="1" applyAlignment="1">
      <alignment vertical="center"/>
    </xf>
    <xf numFmtId="10" fontId="0" fillId="0" borderId="0" xfId="0" applyNumberFormat="1"/>
    <xf numFmtId="164" fontId="0" fillId="0" borderId="15" xfId="0" applyNumberFormat="1" applyBorder="1"/>
    <xf numFmtId="10" fontId="0" fillId="0" borderId="16" xfId="0" applyNumberFormat="1" applyBorder="1"/>
    <xf numFmtId="2" fontId="0" fillId="0" borderId="16" xfId="0" applyNumberFormat="1" applyBorder="1"/>
    <xf numFmtId="0" fontId="0" fillId="0" borderId="16" xfId="0" applyBorder="1"/>
    <xf numFmtId="0" fontId="3" fillId="0" borderId="7" xfId="0" applyFont="1" applyBorder="1"/>
    <xf numFmtId="0" fontId="3" fillId="0" borderId="17" xfId="0" applyFont="1" applyBorder="1"/>
    <xf numFmtId="0" fontId="3" fillId="0" borderId="6" xfId="0" applyFont="1" applyBorder="1"/>
    <xf numFmtId="164" fontId="0" fillId="0" borderId="5" xfId="0" applyNumberFormat="1" applyBorder="1"/>
    <xf numFmtId="0" fontId="0" fillId="0" borderId="18" xfId="0" applyBorder="1"/>
    <xf numFmtId="2" fontId="0" fillId="0" borderId="4" xfId="0" applyNumberFormat="1" applyBorder="1"/>
    <xf numFmtId="0" fontId="15" fillId="8" borderId="0" xfId="0" applyFont="1" applyFill="1"/>
    <xf numFmtId="0" fontId="0" fillId="9" borderId="0" xfId="0" applyFill="1" applyAlignment="1">
      <alignment vertical="center"/>
    </xf>
    <xf numFmtId="168" fontId="2" fillId="2" borderId="0" xfId="0" applyNumberFormat="1" applyFont="1" applyFill="1"/>
    <xf numFmtId="168" fontId="15" fillId="8" borderId="0" xfId="0" applyNumberFormat="1" applyFont="1" applyFill="1"/>
    <xf numFmtId="0" fontId="4" fillId="3" borderId="0" xfId="0" applyFont="1" applyFill="1" applyAlignment="1">
      <alignment horizontal="center"/>
    </xf>
    <xf numFmtId="0" fontId="7" fillId="3" borderId="0" xfId="0" applyFont="1" applyFill="1" applyAlignment="1">
      <alignment horizontal="center"/>
    </xf>
    <xf numFmtId="0" fontId="6" fillId="3" borderId="0" xfId="0" applyFont="1" applyFill="1" applyAlignment="1">
      <alignment horizontal="center"/>
    </xf>
    <xf numFmtId="0" fontId="3" fillId="0" borderId="1" xfId="0" applyFont="1" applyBorder="1" applyAlignment="1">
      <alignment horizontal="center"/>
    </xf>
    <xf numFmtId="0" fontId="8" fillId="4" borderId="4"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0" xfId="0" applyFont="1" applyFill="1" applyAlignment="1">
      <alignment horizontal="center" vertical="center"/>
    </xf>
    <xf numFmtId="0" fontId="11" fillId="4" borderId="1" xfId="0" applyFont="1" applyFill="1" applyBorder="1" applyAlignment="1">
      <alignment horizontal="center" vertical="center"/>
    </xf>
    <xf numFmtId="0" fontId="8" fillId="4" borderId="0" xfId="0" applyFont="1" applyFill="1" applyAlignment="1">
      <alignment horizontal="center"/>
    </xf>
    <xf numFmtId="0" fontId="0" fillId="0" borderId="0" xfId="0" applyNumberFormat="1"/>
  </cellXfs>
  <cellStyles count="3">
    <cellStyle name="Comma" xfId="1" builtinId="3"/>
    <cellStyle name="Normal" xfId="0" builtinId="0"/>
    <cellStyle name="Percent" xfId="2" builtinId="5"/>
  </cellStyles>
  <dxfs count="12">
    <dxf>
      <numFmt numFmtId="2"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mmm\-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4" formatCode="0.00%"/>
    </dxf>
    <dxf>
      <numFmt numFmtId="14" formatCode="0.00%"/>
    </dxf>
    <dxf>
      <numFmt numFmtId="2" formatCode="0.00"/>
    </dxf>
    <dxf>
      <numFmt numFmtId="2" formatCode="0.00"/>
    </dxf>
    <dxf>
      <numFmt numFmtId="166" formatCode="0.0%"/>
    </dxf>
  </dxfs>
  <tableStyles count="0" defaultTableStyle="TableStyleMedium2" defaultPivotStyle="PivotStyleLight16"/>
  <colors>
    <mruColors>
      <color rgb="FF1F77B4"/>
      <color rgb="FF333333"/>
      <color rgb="FF17BECF"/>
      <color rgb="FFD62728"/>
      <color rgb="FFFF7F0E"/>
      <color rgb="FF2CA0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J28" s="10"/>
        <tr r="J28" s="10"/>
      </tp>
    </main>
  </volType>
</volType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volatileDependencies" Target="volatileDependencie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[MRF-3Statement-Financial-Analysis_Dashboard_Mar-23_to_Mar-25.xlsx]Cash Flow!PivotTable8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Net Profit &amp;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77B4"/>
          </a:solidFill>
          <a:ln>
            <a:solidFill>
              <a:srgbClr val="1F77B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77B4"/>
          </a:solidFill>
          <a:ln>
            <a:solidFill>
              <a:srgbClr val="1F77B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77B4"/>
          </a:solidFill>
          <a:ln>
            <a:solidFill>
              <a:srgbClr val="1F77B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'Cash Flow'!$D$35:$D$36</c:f>
              <c:strCache>
                <c:ptCount val="1"/>
                <c:pt idx="0">
                  <c:v>Revenue</c:v>
                </c:pt>
              </c:strCache>
            </c:strRef>
          </c:tx>
          <c:spPr>
            <a:solidFill>
              <a:srgbClr val="1F77B4"/>
            </a:solidFill>
            <a:ln>
              <a:solidFill>
                <a:srgbClr val="1F77B4"/>
              </a:solidFill>
            </a:ln>
            <a:effectLst/>
          </c:spPr>
          <c:invertIfNegative val="0"/>
          <c:cat>
            <c:strRef>
              <c:f>'Cash Flow'!$B$37:$B$38</c:f>
              <c:strCache>
                <c:ptCount val="1"/>
                <c:pt idx="0">
                  <c:v>2025</c:v>
                </c:pt>
              </c:strCache>
            </c:strRef>
          </c:cat>
          <c:val>
            <c:numRef>
              <c:f>'Cash Flow'!$D$37:$D$38</c:f>
              <c:numCache>
                <c:formatCode>General</c:formatCode>
                <c:ptCount val="1"/>
                <c:pt idx="0">
                  <c:v>28152.5</c:v>
                </c:pt>
              </c:numCache>
            </c:numRef>
          </c:val>
          <c:extLst>
            <c:ext xmlns:c16="http://schemas.microsoft.com/office/drawing/2014/chart" uri="{C3380CC4-5D6E-409C-BE32-E72D297353CC}">
              <c16:uniqueId val="{00000000-C83E-444C-B0D9-01AEF3288084}"/>
            </c:ext>
          </c:extLst>
        </c:ser>
        <c:dLbls>
          <c:showLegendKey val="0"/>
          <c:showVal val="0"/>
          <c:showCatName val="0"/>
          <c:showSerName val="0"/>
          <c:showPercent val="0"/>
          <c:showBubbleSize val="0"/>
        </c:dLbls>
        <c:gapWidth val="219"/>
        <c:axId val="2117006640"/>
        <c:axId val="2117001840"/>
      </c:barChart>
      <c:lineChart>
        <c:grouping val="standard"/>
        <c:varyColors val="0"/>
        <c:ser>
          <c:idx val="0"/>
          <c:order val="0"/>
          <c:tx>
            <c:strRef>
              <c:f>'Cash Flow'!$C$35:$C$36</c:f>
              <c:strCache>
                <c:ptCount val="1"/>
                <c:pt idx="0">
                  <c:v>Net profit</c:v>
                </c:pt>
              </c:strCache>
            </c:strRef>
          </c:tx>
          <c:spPr>
            <a:ln w="28575" cap="rnd">
              <a:solidFill>
                <a:schemeClr val="accent2">
                  <a:lumMod val="75000"/>
                </a:schemeClr>
              </a:solidFill>
              <a:round/>
            </a:ln>
            <a:effectLst/>
          </c:spPr>
          <c:marker>
            <c:symbol val="none"/>
          </c:marker>
          <c:trendline>
            <c:spPr>
              <a:ln w="19050" cap="rnd">
                <a:solidFill>
                  <a:schemeClr val="accent1"/>
                </a:solidFill>
                <a:prstDash val="sysDot"/>
              </a:ln>
              <a:effectLst/>
            </c:spPr>
            <c:trendlineType val="linear"/>
            <c:dispRSqr val="0"/>
            <c:dispEq val="0"/>
          </c:trendline>
          <c:cat>
            <c:strRef>
              <c:f>'Cash Flow'!$B$37:$B$38</c:f>
              <c:strCache>
                <c:ptCount val="1"/>
                <c:pt idx="0">
                  <c:v>2025</c:v>
                </c:pt>
              </c:strCache>
            </c:strRef>
          </c:cat>
          <c:val>
            <c:numRef>
              <c:f>'Cash Flow'!$C$37:$C$38</c:f>
              <c:numCache>
                <c:formatCode>General</c:formatCode>
                <c:ptCount val="1"/>
                <c:pt idx="0">
                  <c:v>1869.28</c:v>
                </c:pt>
              </c:numCache>
            </c:numRef>
          </c:val>
          <c:smooth val="0"/>
          <c:extLst>
            <c:ext xmlns:c16="http://schemas.microsoft.com/office/drawing/2014/chart" uri="{C3380CC4-5D6E-409C-BE32-E72D297353CC}">
              <c16:uniqueId val="{00000001-C83E-444C-B0D9-01AEF3288084}"/>
            </c:ext>
          </c:extLst>
        </c:ser>
        <c:dLbls>
          <c:showLegendKey val="0"/>
          <c:showVal val="0"/>
          <c:showCatName val="0"/>
          <c:showSerName val="0"/>
          <c:showPercent val="0"/>
          <c:showBubbleSize val="0"/>
        </c:dLbls>
        <c:marker val="1"/>
        <c:smooth val="0"/>
        <c:axId val="2117010960"/>
        <c:axId val="2116998960"/>
      </c:lineChart>
      <c:catAx>
        <c:axId val="211700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01840"/>
        <c:crosses val="autoZero"/>
        <c:auto val="1"/>
        <c:lblAlgn val="ctr"/>
        <c:lblOffset val="100"/>
        <c:noMultiLvlLbl val="0"/>
      </c:catAx>
      <c:valAx>
        <c:axId val="211700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06640"/>
        <c:crosses val="autoZero"/>
        <c:crossBetween val="between"/>
      </c:valAx>
      <c:valAx>
        <c:axId val="21169989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10960"/>
        <c:crosses val="max"/>
        <c:crossBetween val="between"/>
      </c:valAx>
      <c:catAx>
        <c:axId val="2117010960"/>
        <c:scaling>
          <c:orientation val="minMax"/>
        </c:scaling>
        <c:delete val="1"/>
        <c:axPos val="b"/>
        <c:numFmt formatCode="General" sourceLinked="1"/>
        <c:majorTickMark val="out"/>
        <c:minorTickMark val="none"/>
        <c:tickLblPos val="nextTo"/>
        <c:crossAx val="21169989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[MRF-3Statement-Financial-Analysis_Dashboard_Mar-23_to_Mar-25.xlsx]Cash Flow!PivotTable9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ROE &amp; Net Profit Margin</a:t>
            </a:r>
          </a:p>
        </c:rich>
      </c:tx>
      <c:layout>
        <c:manualLayout>
          <c:xMode val="edge"/>
          <c:yMode val="edge"/>
          <c:x val="0.29492344706911638"/>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'Cash Flow'!$C$42:$C$43</c:f>
              <c:strCache>
                <c:ptCount val="1"/>
                <c:pt idx="0">
                  <c:v>Net Profit Margin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Flow'!$B$44:$B$45</c:f>
              <c:strCache>
                <c:ptCount val="1"/>
                <c:pt idx="0">
                  <c:v>2025</c:v>
                </c:pt>
              </c:strCache>
            </c:strRef>
          </c:cat>
          <c:val>
            <c:numRef>
              <c:f>'Cash Flow'!$C$44:$C$45</c:f>
              <c:numCache>
                <c:formatCode>0.00%</c:formatCode>
                <c:ptCount val="1"/>
                <c:pt idx="0">
                  <c:v>6.6398366042092177E-2</c:v>
                </c:pt>
              </c:numCache>
            </c:numRef>
          </c:val>
          <c:smooth val="0"/>
          <c:extLst>
            <c:ext xmlns:c16="http://schemas.microsoft.com/office/drawing/2014/chart" uri="{C3380CC4-5D6E-409C-BE32-E72D297353CC}">
              <c16:uniqueId val="{00000000-0F31-4FFD-8369-3E87993A4396}"/>
            </c:ext>
          </c:extLst>
        </c:ser>
        <c:ser>
          <c:idx val="1"/>
          <c:order val="1"/>
          <c:tx>
            <c:strRef>
              <c:f>'Cash Flow'!$D$42:$D$43</c:f>
              <c:strCache>
                <c:ptCount val="1"/>
                <c:pt idx="0">
                  <c:v>ROE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Flow'!$B$44:$B$45</c:f>
              <c:strCache>
                <c:ptCount val="1"/>
                <c:pt idx="0">
                  <c:v>2025</c:v>
                </c:pt>
              </c:strCache>
            </c:strRef>
          </c:cat>
          <c:val>
            <c:numRef>
              <c:f>'Cash Flow'!$D$44:$D$45</c:f>
              <c:numCache>
                <c:formatCode>0.00%</c:formatCode>
                <c:ptCount val="1"/>
                <c:pt idx="0">
                  <c:v>0.10110522996507008</c:v>
                </c:pt>
              </c:numCache>
            </c:numRef>
          </c:val>
          <c:smooth val="0"/>
          <c:extLst>
            <c:ext xmlns:c16="http://schemas.microsoft.com/office/drawing/2014/chart" uri="{C3380CC4-5D6E-409C-BE32-E72D297353CC}">
              <c16:uniqueId val="{00000001-0F31-4FFD-8369-3E87993A4396}"/>
            </c:ext>
          </c:extLst>
        </c:ser>
        <c:dLbls>
          <c:dLblPos val="t"/>
          <c:showLegendKey val="0"/>
          <c:showVal val="1"/>
          <c:showCatName val="0"/>
          <c:showSerName val="0"/>
          <c:showPercent val="0"/>
          <c:showBubbleSize val="0"/>
        </c:dLbls>
        <c:smooth val="0"/>
        <c:axId val="1724396800"/>
        <c:axId val="1724399680"/>
      </c:lineChart>
      <c:catAx>
        <c:axId val="172439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99680"/>
        <c:crosses val="autoZero"/>
        <c:auto val="1"/>
        <c:lblAlgn val="ctr"/>
        <c:lblOffset val="100"/>
        <c:noMultiLvlLbl val="0"/>
      </c:catAx>
      <c:valAx>
        <c:axId val="1724399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39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[MRF-3Statement-Financial-Analysis_Dashboard_Mar-23_to_Mar-25.xlsx]Cash Flow!PivotTable10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Cash Flow Trends</a:t>
            </a:r>
          </a:p>
        </c:rich>
      </c:tx>
      <c:layout>
        <c:manualLayout>
          <c:xMode val="edge"/>
          <c:yMode val="edge"/>
          <c:x val="0.34133333333333332"/>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'Cash Flow'!$C$49:$C$50</c:f>
              <c:strCache>
                <c:ptCount val="1"/>
                <c:pt idx="0">
                  <c:v>CFF</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'Cash Flow'!$B$51:$B$52</c:f>
              <c:strCache>
                <c:ptCount val="1"/>
                <c:pt idx="0">
                  <c:v>2025</c:v>
                </c:pt>
              </c:strCache>
            </c:strRef>
          </c:cat>
          <c:val>
            <c:numRef>
              <c:f>'Cash Flow'!$C$51:$C$52</c:f>
              <c:numCache>
                <c:formatCode>General</c:formatCode>
                <c:ptCount val="1"/>
                <c:pt idx="0">
                  <c:v>-2082.23</c:v>
                </c:pt>
              </c:numCache>
            </c:numRef>
          </c:val>
          <c:smooth val="0"/>
          <c:extLst>
            <c:ext xmlns:c16="http://schemas.microsoft.com/office/drawing/2014/chart" uri="{C3380CC4-5D6E-409C-BE32-E72D297353CC}">
              <c16:uniqueId val="{00000001-79B2-46B6-9244-5EA79C6329D9}"/>
            </c:ext>
          </c:extLst>
        </c:ser>
        <c:ser>
          <c:idx val="1"/>
          <c:order val="1"/>
          <c:tx>
            <c:strRef>
              <c:f>'Cash Flow'!$D$49:$D$50</c:f>
              <c:strCache>
                <c:ptCount val="1"/>
                <c:pt idx="0">
                  <c:v>CFI</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'Cash Flow'!$B$51:$B$52</c:f>
              <c:strCache>
                <c:ptCount val="1"/>
                <c:pt idx="0">
                  <c:v>2025</c:v>
                </c:pt>
              </c:strCache>
            </c:strRef>
          </c:cat>
          <c:val>
            <c:numRef>
              <c:f>'Cash Flow'!$D$51:$D$52</c:f>
              <c:numCache>
                <c:formatCode>General</c:formatCode>
                <c:ptCount val="1"/>
                <c:pt idx="0">
                  <c:v>282</c:v>
                </c:pt>
              </c:numCache>
            </c:numRef>
          </c:val>
          <c:smooth val="0"/>
          <c:extLst>
            <c:ext xmlns:c16="http://schemas.microsoft.com/office/drawing/2014/chart" uri="{C3380CC4-5D6E-409C-BE32-E72D297353CC}">
              <c16:uniqueId val="{00000003-79B2-46B6-9244-5EA79C6329D9}"/>
            </c:ext>
          </c:extLst>
        </c:ser>
        <c:ser>
          <c:idx val="2"/>
          <c:order val="2"/>
          <c:tx>
            <c:strRef>
              <c:f>'Cash Flow'!$E$49:$E$50</c:f>
              <c:strCache>
                <c:ptCount val="1"/>
                <c:pt idx="0">
                  <c:v>CFO</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0"/>
          </c:trendline>
          <c:cat>
            <c:strRef>
              <c:f>'Cash Flow'!$B$51:$B$52</c:f>
              <c:strCache>
                <c:ptCount val="1"/>
                <c:pt idx="0">
                  <c:v>2025</c:v>
                </c:pt>
              </c:strCache>
            </c:strRef>
          </c:cat>
          <c:val>
            <c:numRef>
              <c:f>'Cash Flow'!$E$51:$E$52</c:f>
              <c:numCache>
                <c:formatCode>General</c:formatCode>
                <c:ptCount val="1"/>
                <c:pt idx="0">
                  <c:v>1867.8</c:v>
                </c:pt>
              </c:numCache>
            </c:numRef>
          </c:val>
          <c:smooth val="0"/>
          <c:extLst>
            <c:ext xmlns:c16="http://schemas.microsoft.com/office/drawing/2014/chart" uri="{C3380CC4-5D6E-409C-BE32-E72D297353CC}">
              <c16:uniqueId val="{00000005-79B2-46B6-9244-5EA79C6329D9}"/>
            </c:ext>
          </c:extLst>
        </c:ser>
        <c:ser>
          <c:idx val="3"/>
          <c:order val="3"/>
          <c:tx>
            <c:strRef>
              <c:f>'Cash Flow'!$F$49:$F$50</c:f>
              <c:strCache>
                <c:ptCount val="1"/>
                <c:pt idx="0">
                  <c:v>Net Cash Flow</c:v>
                </c:pt>
              </c:strCache>
            </c:strRef>
          </c:tx>
          <c:spPr>
            <a:ln w="28575" cap="rnd">
              <a:solidFill>
                <a:schemeClr val="accent4"/>
              </a:solidFill>
              <a:round/>
            </a:ln>
            <a:effectLst/>
          </c:spPr>
          <c:marker>
            <c:symbol val="none"/>
          </c:marker>
          <c:trendline>
            <c:spPr>
              <a:ln w="19050" cap="rnd">
                <a:solidFill>
                  <a:schemeClr val="accent4"/>
                </a:solidFill>
                <a:prstDash val="sysDot"/>
              </a:ln>
              <a:effectLst/>
            </c:spPr>
            <c:trendlineType val="linear"/>
            <c:dispRSqr val="0"/>
            <c:dispEq val="0"/>
          </c:trendline>
          <c:cat>
            <c:strRef>
              <c:f>'Cash Flow'!$B$51:$B$52</c:f>
              <c:strCache>
                <c:ptCount val="1"/>
                <c:pt idx="0">
                  <c:v>2025</c:v>
                </c:pt>
              </c:strCache>
            </c:strRef>
          </c:cat>
          <c:val>
            <c:numRef>
              <c:f>'Cash Flow'!$F$51:$F$52</c:f>
              <c:numCache>
                <c:formatCode>General</c:formatCode>
                <c:ptCount val="1"/>
                <c:pt idx="0">
                  <c:v>67.569999999999993</c:v>
                </c:pt>
              </c:numCache>
            </c:numRef>
          </c:val>
          <c:smooth val="0"/>
          <c:extLst>
            <c:ext xmlns:c16="http://schemas.microsoft.com/office/drawing/2014/chart" uri="{C3380CC4-5D6E-409C-BE32-E72D297353CC}">
              <c16:uniqueId val="{00000007-79B2-46B6-9244-5EA79C6329D9}"/>
            </c:ext>
          </c:extLst>
        </c:ser>
        <c:dLbls>
          <c:showLegendKey val="0"/>
          <c:showVal val="0"/>
          <c:showCatName val="0"/>
          <c:showSerName val="0"/>
          <c:showPercent val="0"/>
          <c:showBubbleSize val="0"/>
        </c:dLbls>
        <c:smooth val="0"/>
        <c:axId val="1846489712"/>
        <c:axId val="1846497872"/>
      </c:lineChart>
      <c:catAx>
        <c:axId val="18464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497872"/>
        <c:crosses val="autoZero"/>
        <c:auto val="1"/>
        <c:lblAlgn val="ctr"/>
        <c:lblOffset val="100"/>
        <c:noMultiLvlLbl val="0"/>
      </c:catAx>
      <c:valAx>
        <c:axId val="184649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48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[MRF-3Statement-Financial-Analysis_Dashboard_Mar-23_to_Mar-25.xlsx]Cash Flow!PivotTable1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'Cash Flow'!$C$57:$C$58</c:f>
              <c:strCache>
                <c:ptCount val="1"/>
                <c:pt idx="0">
                  <c:v>2025</c:v>
                </c:pt>
              </c:strCache>
            </c:strRef>
          </c:tx>
          <c:spPr>
            <a:solidFill>
              <a:schemeClr val="accent1"/>
            </a:solidFill>
            <a:ln w="25400">
              <a:noFill/>
            </a:ln>
            <a:effectLst/>
          </c:spPr>
          <c:cat>
            <c:strRef>
              <c:f>'Cash Flow'!$B$59:$B$63</c:f>
              <c:strCache>
                <c:ptCount val="4"/>
                <c:pt idx="0">
                  <c:v>Cash Ratio</c:v>
                </c:pt>
                <c:pt idx="1">
                  <c:v>Current Ratio</c:v>
                </c:pt>
                <c:pt idx="2">
                  <c:v>Gross Profit Margin</c:v>
                </c:pt>
                <c:pt idx="3">
                  <c:v>Quick Ratio</c:v>
                </c:pt>
              </c:strCache>
            </c:strRef>
          </c:cat>
          <c:val>
            <c:numRef>
              <c:f>'Cash Flow'!$C$59:$C$63</c:f>
              <c:numCache>
                <c:formatCode>General</c:formatCode>
                <c:ptCount val="4"/>
                <c:pt idx="0">
                  <c:v>2.7662490589348113E-2</c:v>
                </c:pt>
                <c:pt idx="1">
                  <c:v>1.4778612639967483</c:v>
                </c:pt>
                <c:pt idx="2">
                  <c:v>0.34228114732261788</c:v>
                </c:pt>
                <c:pt idx="3">
                  <c:v>0.81079451451255957</c:v>
                </c:pt>
              </c:numCache>
            </c:numRef>
          </c:val>
          <c:extLst>
            <c:ext xmlns:c16="http://schemas.microsoft.com/office/drawing/2014/chart" uri="{C3380CC4-5D6E-409C-BE32-E72D297353CC}">
              <c16:uniqueId val="{00000000-AD6F-49F5-8BC3-BD4B304E37E1}"/>
            </c:ext>
          </c:extLst>
        </c:ser>
        <c:dLbls>
          <c:showLegendKey val="0"/>
          <c:showVal val="0"/>
          <c:showCatName val="0"/>
          <c:showSerName val="0"/>
          <c:showPercent val="0"/>
          <c:showBubbleSize val="0"/>
        </c:dLbls>
        <c:axId val="1351725856"/>
        <c:axId val="1351726816"/>
      </c:radarChart>
      <c:catAx>
        <c:axId val="135172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26816"/>
        <c:crosses val="autoZero"/>
        <c:auto val="1"/>
        <c:lblAlgn val="ctr"/>
        <c:lblOffset val="100"/>
        <c:noMultiLvlLbl val="0"/>
      </c:catAx>
      <c:valAx>
        <c:axId val="135172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[MRF-3Statement-Financial-Analysis_Dashboard_Mar-23_to_Mar-25.xlsx]Cash Flow!PivotTable5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Margins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'Cash Flow'!$C$65:$C$66</c:f>
              <c:strCache>
                <c:ptCount val="1"/>
                <c:pt idx="0">
                  <c:v>Gross Profit Margin</c:v>
                </c:pt>
              </c:strCache>
            </c:strRef>
          </c:tx>
          <c:spPr>
            <a:solidFill>
              <a:schemeClr val="accent1"/>
            </a:solidFill>
            <a:ln>
              <a:noFill/>
            </a:ln>
            <a:effectLst/>
          </c:spPr>
          <c:invertIfNegative val="0"/>
          <c:cat>
            <c:strRef>
              <c:f>'Cash Flow'!$B$67:$B$68</c:f>
              <c:strCache>
                <c:ptCount val="1"/>
                <c:pt idx="0">
                  <c:v>2025</c:v>
                </c:pt>
              </c:strCache>
            </c:strRef>
          </c:cat>
          <c:val>
            <c:numRef>
              <c:f>'Cash Flow'!$C$67:$C$68</c:f>
              <c:numCache>
                <c:formatCode>0.00%</c:formatCode>
                <c:ptCount val="1"/>
                <c:pt idx="0">
                  <c:v>0.34228114732261788</c:v>
                </c:pt>
              </c:numCache>
            </c:numRef>
          </c:val>
          <c:extLst>
            <c:ext xmlns:c16="http://schemas.microsoft.com/office/drawing/2014/chart" uri="{C3380CC4-5D6E-409C-BE32-E72D297353CC}">
              <c16:uniqueId val="{00000000-B60B-409E-AEC1-9DE245BB241A}"/>
            </c:ext>
          </c:extLst>
        </c:ser>
        <c:ser>
          <c:idx val="1"/>
          <c:order val="1"/>
          <c:tx>
            <c:strRef>
              <c:f>'Cash Flow'!$D$65:$D$66</c:f>
              <c:strCache>
                <c:ptCount val="1"/>
                <c:pt idx="0">
                  <c:v>Net Profit Margin</c:v>
                </c:pt>
              </c:strCache>
            </c:strRef>
          </c:tx>
          <c:spPr>
            <a:solidFill>
              <a:schemeClr val="accent2"/>
            </a:solidFill>
            <a:ln>
              <a:noFill/>
            </a:ln>
            <a:effectLst/>
          </c:spPr>
          <c:invertIfNegative val="0"/>
          <c:cat>
            <c:strRef>
              <c:f>'Cash Flow'!$B$67:$B$68</c:f>
              <c:strCache>
                <c:ptCount val="1"/>
                <c:pt idx="0">
                  <c:v>2025</c:v>
                </c:pt>
              </c:strCache>
            </c:strRef>
          </c:cat>
          <c:val>
            <c:numRef>
              <c:f>'Cash Flow'!$D$67:$D$68</c:f>
              <c:numCache>
                <c:formatCode>0.00%</c:formatCode>
                <c:ptCount val="1"/>
                <c:pt idx="0">
                  <c:v>6.6398366042092177E-2</c:v>
                </c:pt>
              </c:numCache>
            </c:numRef>
          </c:val>
          <c:extLst>
            <c:ext xmlns:c16="http://schemas.microsoft.com/office/drawing/2014/chart" uri="{C3380CC4-5D6E-409C-BE32-E72D297353CC}">
              <c16:uniqueId val="{00000006-B60B-409E-AEC1-9DE245BB241A}"/>
            </c:ext>
          </c:extLst>
        </c:ser>
        <c:ser>
          <c:idx val="2"/>
          <c:order val="2"/>
          <c:tx>
            <c:strRef>
              <c:f>'Cash Flow'!$E$65:$E$66</c:f>
              <c:strCache>
                <c:ptCount val="1"/>
                <c:pt idx="0">
                  <c:v>Operating Profit Margin</c:v>
                </c:pt>
              </c:strCache>
            </c:strRef>
          </c:tx>
          <c:spPr>
            <a:solidFill>
              <a:schemeClr val="accent3"/>
            </a:solidFill>
            <a:ln>
              <a:noFill/>
            </a:ln>
            <a:effectLst/>
          </c:spPr>
          <c:invertIfNegative val="0"/>
          <c:cat>
            <c:strRef>
              <c:f>'Cash Flow'!$B$67:$B$68</c:f>
              <c:strCache>
                <c:ptCount val="1"/>
                <c:pt idx="0">
                  <c:v>2025</c:v>
                </c:pt>
              </c:strCache>
            </c:strRef>
          </c:cat>
          <c:val>
            <c:numRef>
              <c:f>'Cash Flow'!$E$67:$E$68</c:f>
              <c:numCache>
                <c:formatCode>0.00%</c:formatCode>
                <c:ptCount val="1"/>
                <c:pt idx="0">
                  <c:v>0.14544534233194203</c:v>
                </c:pt>
              </c:numCache>
            </c:numRef>
          </c:val>
          <c:extLst>
            <c:ext xmlns:c16="http://schemas.microsoft.com/office/drawing/2014/chart" uri="{C3380CC4-5D6E-409C-BE32-E72D297353CC}">
              <c16:uniqueId val="{00000007-B60B-409E-AEC1-9DE245BB241A}"/>
            </c:ext>
          </c:extLst>
        </c:ser>
        <c:dLbls>
          <c:showLegendKey val="0"/>
          <c:showVal val="0"/>
          <c:showCatName val="0"/>
          <c:showSerName val="0"/>
          <c:showPercent val="0"/>
          <c:showBubbleSize val="0"/>
        </c:dLbls>
        <c:gapWidth val="219"/>
        <c:overlap val="-27"/>
        <c:axId val="443927616"/>
        <c:axId val="443930976"/>
      </c:barChart>
      <c:catAx>
        <c:axId val="4439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930976"/>
        <c:crosses val="autoZero"/>
        <c:auto val="1"/>
        <c:lblAlgn val="ctr"/>
        <c:lblOffset val="100"/>
        <c:noMultiLvlLbl val="0"/>
      </c:catAx>
      <c:valAx>
        <c:axId val="443930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92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Cash Flow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Cash Flow Waterfall</a:t>
          </a:r>
        </a:p>
      </cx:txPr>
    </cx:title>
    <cx:plotArea>
      <cx:plotAreaRegion>
        <cx:series layoutId="waterfall" uniqueId="{4AFFB106-5E2F-4FFE-BFA9-AD23212DE54D}">
          <cx:tx>
            <cx:txData>
              <cx:f>_xlchart.v1.1</cx:f>
              <cx:v>Mar-25</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microsoft.com/office/2014/relationships/chartEx" Target="../charts/chartEx1.xml"/><Relationship Id="rId10"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182880</xdr:colOff>
      <xdr:row>2</xdr:row>
      <xdr:rowOff>167640</xdr:rowOff>
    </xdr:from>
    <xdr:to>
      <xdr:col>3</xdr:col>
      <xdr:colOff>175260</xdr:colOff>
      <xdr:row>8</xdr:row>
      <xdr:rowOff>83820</xdr:rowOff>
    </xdr:to>
    <xdr:sp macro="" textlink="$C$1">
      <xdr:nvSpPr>
        <xdr:cNvPr id="2" name="Rectangle: Rounded Corners 1">
          <a:extLst>
            <a:ext uri="{FF2B5EF4-FFF2-40B4-BE49-F238E27FC236}">
              <a16:creationId xmlns:a16="http://schemas.microsoft.com/office/drawing/2014/main" id="{3F2B4A14-0A01-7D1A-1D7B-B96354C75CD2}"/>
            </a:ext>
          </a:extLst>
        </xdr:cNvPr>
        <xdr:cNvSpPr/>
      </xdr:nvSpPr>
      <xdr:spPr>
        <a:xfrm>
          <a:off x="182880" y="533400"/>
          <a:ext cx="1821180" cy="1013460"/>
        </a:xfrm>
        <a:prstGeom prst="roundRect">
          <a:avLst/>
        </a:prstGeom>
        <a:solidFill>
          <a:srgbClr val="2CA02C"/>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333333"/>
              </a:solidFill>
            </a:rPr>
            <a:t>💰Profit</a:t>
          </a:r>
          <a:endParaRPr lang="en-US" sz="2000" b="1" i="0" u="none" strike="noStrike">
            <a:solidFill>
              <a:srgbClr val="333333"/>
            </a:solidFill>
            <a:latin typeface="Calibri"/>
            <a:ea typeface="Calibri"/>
            <a:cs typeface="Calibri"/>
          </a:endParaRPr>
        </a:p>
        <a:p>
          <a:pPr algn="ctr"/>
          <a:r>
            <a:rPr lang="en-US" sz="2000" b="1" i="0" u="none" strike="noStrike">
              <a:solidFill>
                <a:srgbClr val="333333"/>
              </a:solidFill>
              <a:latin typeface="Calibri"/>
              <a:ea typeface="Calibri"/>
              <a:cs typeface="Calibri"/>
            </a:rPr>
            <a:t>$</a:t>
          </a:r>
          <a:fld id="{FEE94223-EFC4-44CF-BE92-253E8C4295A8}" type="TxLink">
            <a:rPr lang="en-US" sz="2000" b="1" i="0" u="none" strike="noStrike">
              <a:solidFill>
                <a:srgbClr val="333333"/>
              </a:solidFill>
              <a:latin typeface="Calibri"/>
              <a:ea typeface="Calibri"/>
              <a:cs typeface="Calibri"/>
            </a:rPr>
            <a:pPr algn="ctr"/>
            <a:t>1869.28</a:t>
          </a:fld>
          <a:r>
            <a:rPr lang="en-US" sz="2000" b="1" i="0" u="none" strike="noStrike">
              <a:solidFill>
                <a:srgbClr val="333333"/>
              </a:solidFill>
              <a:latin typeface="Calibri"/>
              <a:ea typeface="Calibri"/>
              <a:cs typeface="Calibri"/>
            </a:rPr>
            <a:t> Cr.</a:t>
          </a:r>
          <a:endParaRPr lang="en-IN" sz="2000" b="1">
            <a:solidFill>
              <a:srgbClr val="333333"/>
            </a:solidFill>
          </a:endParaRPr>
        </a:p>
      </xdr:txBody>
    </xdr:sp>
    <xdr:clientData/>
  </xdr:twoCellAnchor>
  <xdr:twoCellAnchor>
    <xdr:from>
      <xdr:col>3</xdr:col>
      <xdr:colOff>502920</xdr:colOff>
      <xdr:row>2</xdr:row>
      <xdr:rowOff>175260</xdr:rowOff>
    </xdr:from>
    <xdr:to>
      <xdr:col>6</xdr:col>
      <xdr:colOff>495300</xdr:colOff>
      <xdr:row>8</xdr:row>
      <xdr:rowOff>91440</xdr:rowOff>
    </xdr:to>
    <xdr:sp macro="" textlink="$D$1">
      <xdr:nvSpPr>
        <xdr:cNvPr id="3" name="Rectangle: Rounded Corners 2">
          <a:extLst>
            <a:ext uri="{FF2B5EF4-FFF2-40B4-BE49-F238E27FC236}">
              <a16:creationId xmlns:a16="http://schemas.microsoft.com/office/drawing/2014/main" id="{38237C20-60FE-4959-9994-3660EB0388A0}"/>
            </a:ext>
          </a:extLst>
        </xdr:cNvPr>
        <xdr:cNvSpPr/>
      </xdr:nvSpPr>
      <xdr:spPr>
        <a:xfrm>
          <a:off x="2331720" y="541020"/>
          <a:ext cx="1821180" cy="1013460"/>
        </a:xfrm>
        <a:prstGeom prst="roundRect">
          <a:avLst/>
        </a:prstGeom>
        <a:solidFill>
          <a:srgbClr val="1F77B4"/>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333333"/>
              </a:solidFill>
            </a:rPr>
            <a:t>     Revenue</a:t>
          </a:r>
        </a:p>
        <a:p>
          <a:pPr algn="ctr"/>
          <a:r>
            <a:rPr lang="en-US" sz="2000" b="1" i="0" u="none" strike="noStrike">
              <a:solidFill>
                <a:srgbClr val="333333"/>
              </a:solidFill>
              <a:latin typeface="Calibri"/>
              <a:ea typeface="Calibri"/>
              <a:cs typeface="Calibri"/>
            </a:rPr>
            <a:t>$</a:t>
          </a:r>
          <a:fld id="{4B5076C9-8C2A-40FB-94A9-951CBD002615}" type="TxLink">
            <a:rPr lang="en-US" sz="2000" b="1" i="0" u="none" strike="noStrike">
              <a:solidFill>
                <a:srgbClr val="333333"/>
              </a:solidFill>
              <a:latin typeface="Calibri"/>
              <a:ea typeface="Calibri"/>
              <a:cs typeface="Calibri"/>
            </a:rPr>
            <a:pPr algn="ctr"/>
            <a:t>28152.5</a:t>
          </a:fld>
          <a:r>
            <a:rPr lang="en-US" sz="2000" b="1" i="0" u="none" strike="noStrike">
              <a:solidFill>
                <a:srgbClr val="333333"/>
              </a:solidFill>
              <a:latin typeface="Calibri"/>
              <a:ea typeface="Calibri"/>
              <a:cs typeface="Calibri"/>
            </a:rPr>
            <a:t> Cr.</a:t>
          </a:r>
          <a:endParaRPr lang="en-IN" sz="2000" b="1">
            <a:solidFill>
              <a:srgbClr val="333333"/>
            </a:solidFill>
          </a:endParaRPr>
        </a:p>
      </xdr:txBody>
    </xdr:sp>
    <xdr:clientData/>
  </xdr:twoCellAnchor>
  <xdr:twoCellAnchor>
    <xdr:from>
      <xdr:col>7</xdr:col>
      <xdr:colOff>160020</xdr:colOff>
      <xdr:row>2</xdr:row>
      <xdr:rowOff>160020</xdr:rowOff>
    </xdr:from>
    <xdr:to>
      <xdr:col>10</xdr:col>
      <xdr:colOff>152400</xdr:colOff>
      <xdr:row>8</xdr:row>
      <xdr:rowOff>76200</xdr:rowOff>
    </xdr:to>
    <xdr:sp macro="" textlink="$E$1">
      <xdr:nvSpPr>
        <xdr:cNvPr id="4" name="Rectangle: Rounded Corners 3">
          <a:extLst>
            <a:ext uri="{FF2B5EF4-FFF2-40B4-BE49-F238E27FC236}">
              <a16:creationId xmlns:a16="http://schemas.microsoft.com/office/drawing/2014/main" id="{FFA971D9-29D7-4E67-8E5C-7EF579BF937A}"/>
            </a:ext>
          </a:extLst>
        </xdr:cNvPr>
        <xdr:cNvSpPr/>
      </xdr:nvSpPr>
      <xdr:spPr>
        <a:xfrm>
          <a:off x="4503420" y="525780"/>
          <a:ext cx="1821180" cy="1013460"/>
        </a:xfrm>
        <a:prstGeom prst="roundRect">
          <a:avLst/>
        </a:prstGeom>
        <a:solidFill>
          <a:srgbClr val="FF7F0E"/>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333333"/>
              </a:solidFill>
            </a:rPr>
            <a:t>🔑ROE</a:t>
          </a:r>
        </a:p>
        <a:p>
          <a:pPr algn="ctr"/>
          <a:r>
            <a:rPr lang="en-US" sz="2000" b="1" i="0" u="none" strike="noStrike">
              <a:solidFill>
                <a:srgbClr val="333333"/>
              </a:solidFill>
              <a:latin typeface="Calibri"/>
              <a:ea typeface="Calibri"/>
              <a:cs typeface="Calibri"/>
            </a:rPr>
            <a:t>  </a:t>
          </a:r>
          <a:fld id="{1DFE14CB-8335-4556-84CB-7D805A6252B7}" type="TxLink">
            <a:rPr lang="en-US" sz="2000" b="1" i="0" u="none" strike="noStrike">
              <a:solidFill>
                <a:srgbClr val="333333"/>
              </a:solidFill>
              <a:latin typeface="Calibri"/>
              <a:ea typeface="Calibri"/>
              <a:cs typeface="Calibri"/>
            </a:rPr>
            <a:pPr algn="ctr"/>
            <a:t>10.11%</a:t>
          </a:fld>
          <a:endParaRPr lang="en-IN" sz="2000" b="1">
            <a:solidFill>
              <a:srgbClr val="333333"/>
            </a:solidFill>
          </a:endParaRPr>
        </a:p>
      </xdr:txBody>
    </xdr:sp>
    <xdr:clientData/>
  </xdr:twoCellAnchor>
  <xdr:twoCellAnchor editAs="oneCell">
    <xdr:from>
      <xdr:col>4</xdr:col>
      <xdr:colOff>60960</xdr:colOff>
      <xdr:row>3</xdr:row>
      <xdr:rowOff>121920</xdr:rowOff>
    </xdr:from>
    <xdr:to>
      <xdr:col>4</xdr:col>
      <xdr:colOff>464820</xdr:colOff>
      <xdr:row>5</xdr:row>
      <xdr:rowOff>160020</xdr:rowOff>
    </xdr:to>
    <xdr:pic>
      <xdr:nvPicPr>
        <xdr:cNvPr id="6" name="Graphic 5" descr="Money with solid fill">
          <a:extLst>
            <a:ext uri="{FF2B5EF4-FFF2-40B4-BE49-F238E27FC236}">
              <a16:creationId xmlns:a16="http://schemas.microsoft.com/office/drawing/2014/main" id="{1B719768-730C-2B47-07A8-F05291BB62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99360" y="670560"/>
          <a:ext cx="403860" cy="403860"/>
        </a:xfrm>
        <a:prstGeom prst="rect">
          <a:avLst/>
        </a:prstGeom>
      </xdr:spPr>
    </xdr:pic>
    <xdr:clientData/>
  </xdr:twoCellAnchor>
  <xdr:twoCellAnchor>
    <xdr:from>
      <xdr:col>10</xdr:col>
      <xdr:colOff>449580</xdr:colOff>
      <xdr:row>2</xdr:row>
      <xdr:rowOff>167640</xdr:rowOff>
    </xdr:from>
    <xdr:to>
      <xdr:col>13</xdr:col>
      <xdr:colOff>441960</xdr:colOff>
      <xdr:row>8</xdr:row>
      <xdr:rowOff>83820</xdr:rowOff>
    </xdr:to>
    <xdr:sp macro="" textlink="$F$1">
      <xdr:nvSpPr>
        <xdr:cNvPr id="7" name="Rectangle: Rounded Corners 6">
          <a:extLst>
            <a:ext uri="{FF2B5EF4-FFF2-40B4-BE49-F238E27FC236}">
              <a16:creationId xmlns:a16="http://schemas.microsoft.com/office/drawing/2014/main" id="{B928A1DA-AB5E-4670-BC06-01E6A08FB262}"/>
            </a:ext>
          </a:extLst>
        </xdr:cNvPr>
        <xdr:cNvSpPr/>
      </xdr:nvSpPr>
      <xdr:spPr>
        <a:xfrm>
          <a:off x="6621780" y="533400"/>
          <a:ext cx="1821180" cy="1013460"/>
        </a:xfrm>
        <a:prstGeom prst="roundRect">
          <a:avLst/>
        </a:prstGeom>
        <a:solidFill>
          <a:srgbClr val="D62728"/>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333333"/>
              </a:solidFill>
            </a:rPr>
            <a:t>⚖️ Debt</a:t>
          </a:r>
        </a:p>
        <a:p>
          <a:pPr algn="ctr"/>
          <a:fld id="{FD696054-EDCC-4827-B504-D18BF5F3D28C}" type="TxLink">
            <a:rPr lang="en-US" sz="2000" b="1" i="0" u="none" strike="noStrike">
              <a:solidFill>
                <a:srgbClr val="333333"/>
              </a:solidFill>
              <a:latin typeface="Calibri"/>
              <a:ea typeface="Calibri"/>
              <a:cs typeface="Calibri"/>
            </a:rPr>
            <a:pPr algn="ctr"/>
            <a:t>0.13</a:t>
          </a:fld>
          <a:endParaRPr lang="en-IN" sz="2000" b="1">
            <a:solidFill>
              <a:srgbClr val="333333"/>
            </a:solidFill>
          </a:endParaRPr>
        </a:p>
      </xdr:txBody>
    </xdr:sp>
    <xdr:clientData/>
  </xdr:twoCellAnchor>
  <xdr:twoCellAnchor>
    <xdr:from>
      <xdr:col>13</xdr:col>
      <xdr:colOff>605313</xdr:colOff>
      <xdr:row>3</xdr:row>
      <xdr:rowOff>953</xdr:rowOff>
    </xdr:from>
    <xdr:to>
      <xdr:col>16</xdr:col>
      <xdr:colOff>716756</xdr:colOff>
      <xdr:row>8</xdr:row>
      <xdr:rowOff>95727</xdr:rowOff>
    </xdr:to>
    <xdr:sp macro="" textlink="$Q$1">
      <xdr:nvSpPr>
        <xdr:cNvPr id="8" name="Rectangle: Rounded Corners 7">
          <a:extLst>
            <a:ext uri="{FF2B5EF4-FFF2-40B4-BE49-F238E27FC236}">
              <a16:creationId xmlns:a16="http://schemas.microsoft.com/office/drawing/2014/main" id="{A08552EC-D9D6-4EAC-9EB8-FFA69B64C512}"/>
            </a:ext>
          </a:extLst>
        </xdr:cNvPr>
        <xdr:cNvSpPr/>
      </xdr:nvSpPr>
      <xdr:spPr>
        <a:xfrm>
          <a:off x="8582501" y="465297"/>
          <a:ext cx="1933099" cy="987743"/>
        </a:xfrm>
        <a:prstGeom prst="roundRect">
          <a:avLst/>
        </a:prstGeom>
        <a:solidFill>
          <a:srgbClr val="17BECF"/>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8E83A3-011B-4318-8B46-656B4B09C142}" type="TxLink">
            <a:rPr lang="en-US" sz="2000" b="1" i="0" u="none" strike="noStrike">
              <a:solidFill>
                <a:srgbClr val="000000"/>
              </a:solidFill>
              <a:latin typeface="Calibri"/>
              <a:ea typeface="Calibri"/>
              <a:cs typeface="Calibri"/>
            </a:rPr>
            <a:pPr algn="ctr"/>
            <a:t>6.96%</a:t>
          </a:fld>
          <a:endParaRPr lang="en-IN" sz="2000" b="1">
            <a:solidFill>
              <a:srgbClr val="333333"/>
            </a:solidFill>
          </a:endParaRPr>
        </a:p>
      </xdr:txBody>
    </xdr:sp>
    <xdr:clientData/>
  </xdr:twoCellAnchor>
  <xdr:twoCellAnchor editAs="oneCell">
    <xdr:from>
      <xdr:col>14</xdr:col>
      <xdr:colOff>259080</xdr:colOff>
      <xdr:row>3</xdr:row>
      <xdr:rowOff>95251</xdr:rowOff>
    </xdr:from>
    <xdr:to>
      <xdr:col>14</xdr:col>
      <xdr:colOff>548640</xdr:colOff>
      <xdr:row>5</xdr:row>
      <xdr:rowOff>23337</xdr:rowOff>
    </xdr:to>
    <xdr:pic>
      <xdr:nvPicPr>
        <xdr:cNvPr id="10" name="Graphic 9" descr="Upward trend with solid fill">
          <a:extLst>
            <a:ext uri="{FF2B5EF4-FFF2-40B4-BE49-F238E27FC236}">
              <a16:creationId xmlns:a16="http://schemas.microsoft.com/office/drawing/2014/main" id="{0ED46941-6804-C199-8A3C-DBAB06B93F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43486" y="559595"/>
          <a:ext cx="289560" cy="285273"/>
        </a:xfrm>
        <a:prstGeom prst="rect">
          <a:avLst/>
        </a:prstGeom>
      </xdr:spPr>
    </xdr:pic>
    <xdr:clientData/>
  </xdr:twoCellAnchor>
  <xdr:twoCellAnchor>
    <xdr:from>
      <xdr:col>0</xdr:col>
      <xdr:colOff>159544</xdr:colOff>
      <xdr:row>28</xdr:row>
      <xdr:rowOff>100964</xdr:rowOff>
    </xdr:from>
    <xdr:to>
      <xdr:col>7</xdr:col>
      <xdr:colOff>388144</xdr:colOff>
      <xdr:row>43</xdr:row>
      <xdr:rowOff>100964</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55AD4CBA-C20A-40ED-A9C0-BD9CF5187F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9544" y="5282564"/>
              <a:ext cx="47548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583407</xdr:colOff>
      <xdr:row>3</xdr:row>
      <xdr:rowOff>59531</xdr:rowOff>
    </xdr:from>
    <xdr:ext cx="783676" cy="405432"/>
    <xdr:sp macro="" textlink="">
      <xdr:nvSpPr>
        <xdr:cNvPr id="5" name="TextBox 4">
          <a:extLst>
            <a:ext uri="{FF2B5EF4-FFF2-40B4-BE49-F238E27FC236}">
              <a16:creationId xmlns:a16="http://schemas.microsoft.com/office/drawing/2014/main" id="{BF0DE615-12FD-45D5-D95D-39CD3219F857}"/>
            </a:ext>
          </a:extLst>
        </xdr:cNvPr>
        <xdr:cNvSpPr txBox="1"/>
      </xdr:nvSpPr>
      <xdr:spPr>
        <a:xfrm>
          <a:off x="9167813" y="523875"/>
          <a:ext cx="78367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lumMod val="85000"/>
                  <a:lumOff val="15000"/>
                </a:schemeClr>
              </a:solidFill>
            </a:rPr>
            <a:t>CAGR</a:t>
          </a:r>
        </a:p>
      </xdr:txBody>
    </xdr:sp>
    <xdr:clientData/>
  </xdr:oneCellAnchor>
  <xdr:twoCellAnchor>
    <xdr:from>
      <xdr:col>0</xdr:col>
      <xdr:colOff>273844</xdr:colOff>
      <xdr:row>9</xdr:row>
      <xdr:rowOff>166687</xdr:rowOff>
    </xdr:from>
    <xdr:to>
      <xdr:col>7</xdr:col>
      <xdr:colOff>511969</xdr:colOff>
      <xdr:row>25</xdr:row>
      <xdr:rowOff>52387</xdr:rowOff>
    </xdr:to>
    <xdr:graphicFrame macro="">
      <xdr:nvGraphicFramePr>
        <xdr:cNvPr id="16" name="Chart 15">
          <a:extLst>
            <a:ext uri="{FF2B5EF4-FFF2-40B4-BE49-F238E27FC236}">
              <a16:creationId xmlns:a16="http://schemas.microsoft.com/office/drawing/2014/main" id="{3635A33A-B7CB-4C1D-B673-808146863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178594</xdr:colOff>
      <xdr:row>10</xdr:row>
      <xdr:rowOff>0</xdr:rowOff>
    </xdr:from>
    <xdr:to>
      <xdr:col>15</xdr:col>
      <xdr:colOff>500063</xdr:colOff>
      <xdr:row>25</xdr:row>
      <xdr:rowOff>64294</xdr:rowOff>
    </xdr:to>
    <xdr:graphicFrame macro="">
      <xdr:nvGraphicFramePr>
        <xdr:cNvPr id="17" name="Chart 16">
          <a:extLst>
            <a:ext uri="{FF2B5EF4-FFF2-40B4-BE49-F238E27FC236}">
              <a16:creationId xmlns:a16="http://schemas.microsoft.com/office/drawing/2014/main" id="{2DB694AA-50B2-4365-BD0E-78A119786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11905</xdr:colOff>
      <xdr:row>10</xdr:row>
      <xdr:rowOff>23813</xdr:rowOff>
    </xdr:from>
    <xdr:to>
      <xdr:col>18</xdr:col>
      <xdr:colOff>142874</xdr:colOff>
      <xdr:row>17</xdr:row>
      <xdr:rowOff>59533</xdr:rowOff>
    </xdr:to>
    <mc:AlternateContent xmlns:mc="http://schemas.openxmlformats.org/markup-compatibility/2006" xmlns:a14="http://schemas.microsoft.com/office/drawing/2010/main">
      <mc:Choice Requires="a14">
        <xdr:graphicFrame macro="">
          <xdr:nvGraphicFramePr>
            <xdr:cNvPr id="19" name="Year (Year)">
              <a:extLst>
                <a:ext uri="{FF2B5EF4-FFF2-40B4-BE49-F238E27FC236}">
                  <a16:creationId xmlns:a16="http://schemas.microsoft.com/office/drawing/2014/main" id="{3201B721-A189-45D9-8D31-6F3A0FFEA37E}"/>
                </a:ext>
              </a:extLst>
            </xdr:cNvPr>
            <xdr:cNvGraphicFramePr/>
          </xdr:nvGraphicFramePr>
          <xdr:xfrm>
            <a:off x="0" y="0"/>
            <a:ext cx="0" cy="0"/>
          </xdr:xfrm>
          <a:graphic>
            <a:graphicData uri="http://schemas.microsoft.com/office/drawing/2010/slicer">
              <sle:slicer xmlns:sle="http://schemas.microsoft.com/office/drawing/2010/slicer" name="Year (Year)"/>
            </a:graphicData>
          </a:graphic>
        </xdr:graphicFrame>
      </mc:Choice>
      <mc:Fallback xmlns="">
        <xdr:sp macro="" textlink="">
          <xdr:nvSpPr>
            <xdr:cNvPr id="0" name=""/>
            <xdr:cNvSpPr>
              <a:spLocks noTextEdit="1"/>
            </xdr:cNvSpPr>
          </xdr:nvSpPr>
          <xdr:spPr>
            <a:xfrm>
              <a:off x="9810749" y="1738313"/>
              <a:ext cx="1845469"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190499</xdr:colOff>
      <xdr:row>28</xdr:row>
      <xdr:rowOff>154781</xdr:rowOff>
    </xdr:from>
    <xdr:to>
      <xdr:col>15</xdr:col>
      <xdr:colOff>511968</xdr:colOff>
      <xdr:row>44</xdr:row>
      <xdr:rowOff>40481</xdr:rowOff>
    </xdr:to>
    <xdr:graphicFrame macro="">
      <xdr:nvGraphicFramePr>
        <xdr:cNvPr id="9" name="Chart 8">
          <a:extLst>
            <a:ext uri="{FF2B5EF4-FFF2-40B4-BE49-F238E27FC236}">
              <a16:creationId xmlns:a16="http://schemas.microsoft.com/office/drawing/2014/main" id="{BB9A21F0-EB2A-40D8-BAA7-23173E8F8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428625</xdr:colOff>
      <xdr:row>19</xdr:row>
      <xdr:rowOff>71437</xdr:rowOff>
    </xdr:from>
    <xdr:to>
      <xdr:col>23</xdr:col>
      <xdr:colOff>250032</xdr:colOff>
      <xdr:row>38</xdr:row>
      <xdr:rowOff>119063</xdr:rowOff>
    </xdr:to>
    <xdr:graphicFrame macro="">
      <xdr:nvGraphicFramePr>
        <xdr:cNvPr id="11" name="Chart 10">
          <a:extLst>
            <a:ext uri="{FF2B5EF4-FFF2-40B4-BE49-F238E27FC236}">
              <a16:creationId xmlns:a16="http://schemas.microsoft.com/office/drawing/2014/main" id="{2350BEF0-7B46-43A2-B14D-0B755C501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309562</xdr:colOff>
      <xdr:row>4</xdr:row>
      <xdr:rowOff>71437</xdr:rowOff>
    </xdr:from>
    <xdr:to>
      <xdr:col>21</xdr:col>
      <xdr:colOff>316706</xdr:colOff>
      <xdr:row>18</xdr:row>
      <xdr:rowOff>38100</xdr:rowOff>
    </xdr:to>
    <mc:AlternateContent xmlns:mc="http://schemas.openxmlformats.org/markup-compatibility/2006" xmlns:a14="http://schemas.microsoft.com/office/drawing/2010/main">
      <mc:Choice Requires="a14">
        <xdr:graphicFrame macro="">
          <xdr:nvGraphicFramePr>
            <xdr:cNvPr id="14" name="Metric">
              <a:extLst>
                <a:ext uri="{FF2B5EF4-FFF2-40B4-BE49-F238E27FC236}">
                  <a16:creationId xmlns:a16="http://schemas.microsoft.com/office/drawing/2014/main" id="{965B81D4-73B8-42C2-88B7-A78315A9F85D}"/>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12044362" y="708746"/>
              <a:ext cx="1835944" cy="2488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484909</xdr:colOff>
      <xdr:row>3</xdr:row>
      <xdr:rowOff>27709</xdr:rowOff>
    </xdr:from>
    <xdr:to>
      <xdr:col>29</xdr:col>
      <xdr:colOff>180109</xdr:colOff>
      <xdr:row>18</xdr:row>
      <xdr:rowOff>69273</xdr:rowOff>
    </xdr:to>
    <xdr:graphicFrame macro="">
      <xdr:nvGraphicFramePr>
        <xdr:cNvPr id="12" name="Chart 11">
          <a:extLst>
            <a:ext uri="{FF2B5EF4-FFF2-40B4-BE49-F238E27FC236}">
              <a16:creationId xmlns:a16="http://schemas.microsoft.com/office/drawing/2014/main" id="{85F5B63E-076F-4035-BDEF-772D876BE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yuresh Jadhav" id="{28423398-EC1E-4248-B37A-79130FBED320}" userId="4457cf12a65f6e1a"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ARADA JADHAV" refreshedDate="45901.580663078705" backgroundQuery="1" createdVersion="3" refreshedVersion="8" minRefreshableVersion="3" recordCount="0" tupleCache="1" supportSubquery="1" supportAdvancedDrill="1" xr:uid="{4F346B31-310C-4F2A-A278-67D618749AEE}">
  <cacheSource type="external" connectionId="3"/>
  <cacheFields count="3">
    <cacheField name="[Measures].[MeasuresLevel]" caption="MeasuresLevel" numFmtId="0">
      <sharedItems count="1">
        <s v="[Measures].[Sum of Value]" c="Sum of Value"/>
      </sharedItems>
    </cacheField>
    <cacheField name="[Table1].[Metric].[Metric]" caption="Metric" numFmtId="0" hierarchy="2" level="1">
      <sharedItems count="2">
        <s v="[Table1].[Metric].&amp;[Net profit]" c="Net profit"/>
        <s v="[Table1].[Metric].&amp;[Revenue]" c="Revenue"/>
      </sharedItems>
    </cacheField>
    <cacheField name="[Table1].[Year (Year)].[Year (Year)]" caption="Year (Year)" numFmtId="0" hierarchy="4" level="1">
      <sharedItems count="3">
        <s v="[Table1].[Year (Year)].&amp;[2023]" c="2023"/>
        <s v="[Table1].[Year (Year)].&amp;[2024]" c="2024"/>
        <s v="[Table1].[Year (Year)].&amp;[2025]" c="2025"/>
      </sharedItems>
    </cacheField>
  </cacheFields>
  <cacheHierarchies count="11">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1"/>
      </fieldsUsage>
    </cacheHierarchy>
    <cacheHierarchy uniqueName="[Table1].[Value]" caption="Value" attribute="1" defaultMemberUniqueName="[Table1].[Value].[All]" allUniqueName="[Table1].[Value].[All]" dimensionUniqueName="[Table1]" displayFolder="" count="2" memberValueDatatype="5" unbalanced="0"/>
    <cacheHierarchy uniqueName="[Table1].[Year (Year)]" caption="Year (Year)" attribute="1" defaultMemberUniqueName="[Table1].[Year (Year)].[All]" allUniqueName="[Table1].[Year (Year)].[All]" allCaption="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2" memberValueDatatype="130" unbalanced="0"/>
    <cacheHierarchy uniqueName="[Table1].[Year (Month)]" caption="Year (Month)" attribute="1" defaultMemberUniqueName="[Table1].[Year (Month)].[All]" allUniqueName="[Table1].[Year (Month)].[All]" dimensionUniqueName="[Table1]" displayFolder="" count="2" memberValueDatatype="130" unbalanced="0"/>
    <cacheHierarchy uniqueName="[Table1].[Year (Month Index)]" caption="Year (Month Index)" attribute="1" defaultMemberUniqueName="[Table1].[Year (Month Index)].[All]" allUniqueName="[Table1].[Year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hidden="1">
      <extLst>
        <ext xmlns:x15="http://schemas.microsoft.com/office/spreadsheetml/2010/11/main" uri="{B97F6D7D-B522-45F9-BDA1-12C45D357490}">
          <x15:cacheHierarchy aggregatedColumn="3"/>
        </ext>
      </extLst>
    </cacheHierarchy>
  </cacheHierarchies>
  <kpis count="0"/>
  <tupleCache>
    <entries count="12">
      <n v="768.93">
        <tpls c="3">
          <tpl fld="0" item="0"/>
          <tpl fld="1" item="0"/>
          <tpl fld="2" item="0"/>
        </tpls>
      </n>
      <n v="2081.2199999999998">
        <tpls c="3">
          <tpl fld="0" item="0"/>
          <tpl fld="1" item="0"/>
          <tpl fld="2" item="1"/>
        </tpls>
      </n>
      <n v="25168.73">
        <tpls c="3">
          <tpl fld="0" item="0"/>
          <tpl fld="1" item="1"/>
          <tpl fld="2" item="1"/>
        </tpls>
      </n>
      <n v="28152.5">
        <tpls c="3">
          <tpl fld="0" item="0"/>
          <tpl fld="1" item="1"/>
          <tpl fld="2" item="2"/>
        </tpls>
      </n>
      <n v="4719.4299999999994">
        <tpls c="3">
          <tpl fld="0" item="0"/>
          <tpl fld="1" item="0"/>
          <tpl hier="4" item="4294967295"/>
        </tpls>
      </n>
      <n v="76329.56">
        <tpls c="3">
          <tpl fld="0" item="0"/>
          <tpl fld="1" item="1"/>
          <tpl hier="4" item="4294967295"/>
        </tpls>
      </n>
      <n v="23008.33">
        <tpls c="3">
          <tpl fld="0" item="0"/>
          <tpl fld="1" item="1"/>
          <tpl fld="2" item="0"/>
        </tpls>
      </n>
      <n v="1869.28">
        <tpls c="3">
          <tpl fld="0" item="0"/>
          <tpl fld="1" item="0"/>
          <tpl fld="2" item="2"/>
        </tpls>
      </n>
      <n v="30021.78">
        <tpls c="3">
          <tpl fld="0" item="0"/>
          <tpl hier="2" item="0"/>
          <tpl fld="2" item="2"/>
        </tpls>
      </n>
      <n v="81048.990000000005">
        <tpls c="3">
          <tpl fld="0" item="0"/>
          <tpl hier="2" item="0"/>
          <tpl hier="4" item="4294967295"/>
        </tpls>
      </n>
      <n v="23777.260000000002">
        <tpls c="3">
          <tpl fld="0" item="0"/>
          <tpl hier="2" item="0"/>
          <tpl fld="2" item="0"/>
        </tpls>
      </n>
      <n v="27249.95">
        <tpls c="3">
          <tpl fld="0" item="0"/>
          <tpl hier="2" item="0"/>
          <tpl fld="2" item="1"/>
        </tpls>
      </n>
    </entries>
    <sets count="8">
      <set count="2" maxRank="1" setDefinition="{([Table1].[Metric].&amp;[Revenue]),([Table1].[Metric].&amp;[Net profit])}">
        <tpls c="1">
          <tpl fld="1" item="1"/>
        </tpls>
      </set>
      <set count="1" maxRank="1" setDefinition="[Table1].[Year (Year)]">
        <tpls c="1">
          <tpl hier="4" item="4294967295"/>
        </tpls>
      </set>
      <set count="1" maxRank="1" setDefinition="[Table1].[Year (Year)].&amp;[2023]">
        <tpls c="1">
          <tpl fld="2" item="0"/>
        </tpls>
      </set>
      <set maxRank="1" setDefinition="Year (Year)" queryFailed="1"/>
      <set count="1" maxRank="1" setDefinition="{[Table1].[Year (Year)].[All]}">
        <tpls c="1">
          <tpl hier="4" item="4294967295"/>
        </tpls>
      </set>
      <set count="1" maxRank="1" setDefinition="{[Table1].[Year (Year)].&amp;[2023]}">
        <tpls c="1">
          <tpl fld="2" item="0"/>
        </tpls>
      </set>
      <set count="1" maxRank="1" setDefinition="{[Table1].[Year (Year)].&amp;[2024]}">
        <tpls c="1">
          <tpl fld="2" item="1"/>
        </tpls>
      </set>
      <set count="1" maxRank="1" setDefinition="{[Table1].[Year (Year)].&amp;[2025]}">
        <tpls c="1">
          <tpl fld="2" item="2"/>
        </tpls>
      </set>
    </sets>
    <queryCache count="7">
      <query mdx="[Measures].[Sum of Value]">
        <tpls c="1">
          <tpl fld="0" item="0"/>
        </tpls>
      </query>
      <query mdx="[Table1].[Metric].&amp;[Net profit]">
        <tpls c="1">
          <tpl fld="1" item="0"/>
        </tpls>
      </query>
      <query mdx="[Table1].[Metric].&amp;[Revenue]">
        <tpls c="1">
          <tpl fld="1" item="1"/>
        </tpls>
      </query>
      <query mdx="[Table1].[Year (Year)].&amp;[2023]">
        <tpls c="1">
          <tpl fld="2" item="0"/>
        </tpls>
      </query>
      <query mdx="[Table1].[Year (Year)].&amp;[2024]">
        <tpls c="1">
          <tpl fld="2" item="1"/>
        </tpls>
      </query>
      <query mdx="[Table1].[Year (Year)].&amp;[2025]">
        <tpls c="1">
          <tpl fld="2" item="2"/>
        </tpls>
      </query>
      <query mdx="[Table1].[Year (Year)].[All]">
        <tpls c="1">
          <tpl hier="4" item="4294967295"/>
        </tpls>
      </query>
    </queryCache>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84.472341782406" backgroundQuery="1" createdVersion="8" refreshedVersion="8" minRefreshableVersion="3" recordCount="0" supportSubquery="1" supportAdvancedDrill="1" xr:uid="{592929F1-4731-4FD0-9386-06149170CD6E}">
  <cacheSource type="external" connectionId="3"/>
  <cacheFields count="3">
    <cacheField name="[Table1].[Metric].[Metric]" caption="Metric" numFmtId="0" hierarchy="1" level="1">
      <sharedItems count="2">
        <s v="Net profit"/>
        <s v="Revenue"/>
      </sharedItems>
    </cacheField>
    <cacheField name="[Measures].[Sum of Value]" caption="Sum of Value" numFmtId="0" hierarchy="9" level="32767"/>
    <cacheField name="[Table1].[Year (Year)].[Year (Year)]" caption="Year (Year)" numFmtId="0" hierarchy="3" level="1">
      <sharedItems count="1">
        <s v="2025"/>
      </sharedItems>
    </cacheField>
  </cacheFields>
  <cacheHierarchies count="10">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0"/>
      </fieldsUsage>
    </cacheHierarchy>
    <cacheHierarchy uniqueName="[Table1].[Value]" caption="Value" attribute="1" defaultMemberUniqueName="[Table1].[Value].[All]" allUniqueName="[Table1].[Value].[All]" dimensionUniqueName="[Table1]" displayFolder="" count="2" memberValueDatatype="5" unbalanced="0"/>
    <cacheHierarchy uniqueName="[Table1].[Year (Year)]" caption="Year (Year)" attribute="1" defaultMemberUniqueName="[Table1].[Year (Year)].[All]" allUniqueName="[Table1].[Year (Year)].[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2" memberValueDatatype="130" unbalanced="0"/>
    <cacheHierarchy uniqueName="[Table1].[Year (Month)]" caption="Year (Month)" attribute="1" defaultMemberUniqueName="[Table1].[Year (Month)].[All]" allUniqueName="[Table1].[Year (Month)].[All]" dimensionUniqueName="[Table1]" displayFolder="" count="2" memberValueDatatype="130" unbalanced="0"/>
    <cacheHierarchy uniqueName="[Table1].[Year (Month Index)]" caption="Year (Month Index)" attribute="1" defaultMemberUniqueName="[Table1].[Year (Month Index)].[All]" allUniqueName="[Table1].[Year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84.472342129629" backgroundQuery="1" createdVersion="8" refreshedVersion="8" minRefreshableVersion="3" recordCount="0" supportSubquery="1" supportAdvancedDrill="1" xr:uid="{DD3F2C03-8D1A-4E22-A535-316B6DE6A79D}">
  <cacheSource type="external" connectionId="3"/>
  <cacheFields count="3">
    <cacheField name="[Table1].[Metric].[Metric]" caption="Metric" numFmtId="0" hierarchy="1" level="1">
      <sharedItems count="4">
        <s v="CFF"/>
        <s v="CFI"/>
        <s v="CFO"/>
        <s v="Net Cash Flow"/>
      </sharedItems>
    </cacheField>
    <cacheField name="[Measures].[Sum of Value]" caption="Sum of Value" numFmtId="0" hierarchy="9" level="32767"/>
    <cacheField name="[Table1].[Year (Year)].[Year (Year)]" caption="Year (Year)" numFmtId="0" hierarchy="3" level="1">
      <sharedItems count="1">
        <s v="2025"/>
      </sharedItems>
    </cacheField>
  </cacheFields>
  <cacheHierarchies count="10">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0"/>
      </fieldsUsage>
    </cacheHierarchy>
    <cacheHierarchy uniqueName="[Table1].[Value]" caption="Value" attribute="1" defaultMemberUniqueName="[Table1].[Value].[All]" allUniqueName="[Table1].[Value].[All]" dimensionUniqueName="[Table1]" displayFolder="" count="0" memberValueDatatype="5" unbalanced="0"/>
    <cacheHierarchy uniqueName="[Table1].[Year (Year)]" caption="Year (Year)" attribute="1" defaultMemberUniqueName="[Table1].[Year (Year)].[All]" allUniqueName="[Table1].[Year (Year)].[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0" memberValueDatatype="130" unbalanced="0"/>
    <cacheHierarchy uniqueName="[Table1].[Year (Month)]" caption="Year (Month)" attribute="1" defaultMemberUniqueName="[Table1].[Year (Month)].[All]" allUniqueName="[Table1].[Year (Month)].[All]" dimensionUniqueName="[Table1]" displayFolder="" count="0" memberValueDatatype="130" unbalanced="0"/>
    <cacheHierarchy uniqueName="[Table1].[Year (Month Index)]" caption="Year (Month Index)" attribute="1" defaultMemberUniqueName="[Table1].[Year (Month Index)].[All]" allUniqueName="[Table1].[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84.47234270833" backgroundQuery="1" createdVersion="8" refreshedVersion="8" minRefreshableVersion="3" recordCount="0" supportSubquery="1" supportAdvancedDrill="1" xr:uid="{650E05B8-110F-4C0B-8EFE-13D432E80A88}">
  <cacheSource type="external" connectionId="3"/>
  <cacheFields count="3">
    <cacheField name="[Table1].[Metric].[Metric]" caption="Metric" numFmtId="0" hierarchy="1" level="1">
      <sharedItems count="2">
        <s v="Net Profit Margin"/>
        <s v="ROE"/>
      </sharedItems>
    </cacheField>
    <cacheField name="[Measures].[Sum of Value]" caption="Sum of Value" numFmtId="0" hierarchy="9" level="32767"/>
    <cacheField name="[Table1].[Year (Year)].[Year (Year)]" caption="Year (Year)" numFmtId="0" hierarchy="3" level="1">
      <sharedItems count="1">
        <s v="2025"/>
      </sharedItems>
    </cacheField>
  </cacheFields>
  <cacheHierarchies count="10">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0"/>
      </fieldsUsage>
    </cacheHierarchy>
    <cacheHierarchy uniqueName="[Table1].[Value]" caption="Value" attribute="1" defaultMemberUniqueName="[Table1].[Value].[All]" allUniqueName="[Table1].[Value].[All]" dimensionUniqueName="[Table1]" displayFolder="" count="0" memberValueDatatype="5" unbalanced="0"/>
    <cacheHierarchy uniqueName="[Table1].[Year (Year)]" caption="Year (Year)" attribute="1" defaultMemberUniqueName="[Table1].[Year (Year)].[All]" allUniqueName="[Table1].[Year (Year)].[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0" memberValueDatatype="130" unbalanced="0"/>
    <cacheHierarchy uniqueName="[Table1].[Year (Month)]" caption="Year (Month)" attribute="1" defaultMemberUniqueName="[Table1].[Year (Month)].[All]" allUniqueName="[Table1].[Year (Month)].[All]" dimensionUniqueName="[Table1]" displayFolder="" count="0" memberValueDatatype="130" unbalanced="0"/>
    <cacheHierarchy uniqueName="[Table1].[Year (Month Index)]" caption="Year (Month Index)" attribute="1" defaultMemberUniqueName="[Table1].[Year (Month Index)].[All]" allUniqueName="[Table1].[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84.472343171299" backgroundQuery="1" createdVersion="8" refreshedVersion="8" minRefreshableVersion="3" recordCount="0" supportSubquery="1" supportAdvancedDrill="1" xr:uid="{340CAD39-DD90-44A9-98E7-4DF55F89351E}">
  <cacheSource type="external" connectionId="3"/>
  <cacheFields count="3">
    <cacheField name="[Table1].[Metric].[Metric]" caption="Metric" numFmtId="0" hierarchy="1" level="1">
      <sharedItems count="15">
        <s v="Cash Ratio"/>
        <s v="Current Ratio"/>
        <s v="Gross Profit Margin"/>
        <s v="Quick Ratio"/>
        <s v="Debt to Equity" u="1"/>
        <s v="ROE" u="1"/>
        <s v="P/E Ratio" u="1"/>
        <s v="Times interest earned " u="1"/>
        <s v="Debt to total assets" u="1"/>
        <s v="ROA" u="1"/>
        <s v="CFF" u="1"/>
        <s v="EV/EBITDA" u="1"/>
        <s v="CFI" u="1"/>
        <s v="CFO" u="1"/>
        <s v="Net Cash Flow" u="1"/>
      </sharedItems>
    </cacheField>
    <cacheField name="[Measures].[Sum of Value]" caption="Sum of Value" numFmtId="0" hierarchy="9" level="32767"/>
    <cacheField name="[Table1].[Year (Year)].[Year (Year)]" caption="Year (Year)" numFmtId="0" hierarchy="3" level="1">
      <sharedItems count="3">
        <s v="2025"/>
        <s v="2024" u="1"/>
        <s v="2023" u="1"/>
      </sharedItems>
    </cacheField>
  </cacheFields>
  <cacheHierarchies count="10">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0"/>
      </fieldsUsage>
    </cacheHierarchy>
    <cacheHierarchy uniqueName="[Table1].[Value]" caption="Value" attribute="1" defaultMemberUniqueName="[Table1].[Value].[All]" allUniqueName="[Table1].[Value].[All]" dimensionUniqueName="[Table1]" displayFolder="" count="2" memberValueDatatype="5" unbalanced="0"/>
    <cacheHierarchy uniqueName="[Table1].[Year (Year)]" caption="Year (Year)" attribute="1" defaultMemberUniqueName="[Table1].[Year (Year)].[All]" allUniqueName="[Table1].[Year (Year)].[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2" memberValueDatatype="130" unbalanced="0"/>
    <cacheHierarchy uniqueName="[Table1].[Year (Month)]" caption="Year (Month)" attribute="1" defaultMemberUniqueName="[Table1].[Year (Month)].[All]" allUniqueName="[Table1].[Year (Month)].[All]" dimensionUniqueName="[Table1]" displayFolder="" count="2" memberValueDatatype="130" unbalanced="0"/>
    <cacheHierarchy uniqueName="[Table1].[Year (Month Index)]" caption="Year (Month Index)" attribute="1" defaultMemberUniqueName="[Table1].[Year (Month Index)].[All]" allUniqueName="[Table1].[Year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84.472343634261" backgroundQuery="1" createdVersion="8" refreshedVersion="8" minRefreshableVersion="3" recordCount="0" supportSubquery="1" supportAdvancedDrill="1" xr:uid="{63D2CE21-9427-45F4-946A-0B2C7CA2B248}">
  <cacheSource type="external" connectionId="3"/>
  <cacheFields count="3">
    <cacheField name="[Table1].[Metric].[Metric]" caption="Metric" numFmtId="0" hierarchy="1" level="1">
      <sharedItems count="7">
        <s v="Gross Profit Margin"/>
        <s v="Net Profit Margin"/>
        <s v="Operating Profit Margin"/>
        <s v="CFF" u="1"/>
        <s v="CFI" u="1"/>
        <s v="CFO" u="1"/>
        <s v="Net Cash Flow" u="1"/>
      </sharedItems>
    </cacheField>
    <cacheField name="[Measures].[Sum of Value]" caption="Sum of Value" numFmtId="0" hierarchy="9" level="32767"/>
    <cacheField name="[Table1].[Year (Year)].[Year (Year)]" caption="Year (Year)" numFmtId="0" hierarchy="3" level="1">
      <sharedItems count="3">
        <s v="2025"/>
        <s v="2024" u="1"/>
        <s v="2023" u="1"/>
      </sharedItems>
    </cacheField>
  </cacheFields>
  <cacheHierarchies count="10">
    <cacheHierarchy uniqueName="[Table1].[Year]" caption="Year" attribute="1" time="1" defaultMemberUniqueName="[Table1].[Year].[All]" allUniqueName="[Table1].[Year].[All]" dimensionUniqueName="[Table1]" displayFolder="" count="2" memberValueDatatype="7" unbalanced="0"/>
    <cacheHierarchy uniqueName="[Table1].[Metric]" caption="Metric" attribute="1" defaultMemberUniqueName="[Table1].[Metric].[All]" allUniqueName="[Table1].[Metric].[All]" dimensionUniqueName="[Table1]" displayFolder="" count="2" memberValueDatatype="130" unbalanced="0">
      <fieldsUsage count="2">
        <fieldUsage x="-1"/>
        <fieldUsage x="0"/>
      </fieldsUsage>
    </cacheHierarchy>
    <cacheHierarchy uniqueName="[Table1].[Value]" caption="Value" attribute="1" defaultMemberUniqueName="[Table1].[Value].[All]" allUniqueName="[Table1].[Value].[All]" dimensionUniqueName="[Table1]" displayFolder="" count="0" memberValueDatatype="5" unbalanced="0"/>
    <cacheHierarchy uniqueName="[Table1].[Year (Year)]" caption="Year (Year)" attribute="1" defaultMemberUniqueName="[Table1].[Year (Year)].[All]" allUniqueName="[Table1].[Year (Year)].[All]" dimensionUniqueName="[Table1]" displayFolder="" count="2" memberValueDatatype="130" unbalanced="0">
      <fieldsUsage count="2">
        <fieldUsage x="-1"/>
        <fieldUsage x="2"/>
      </fieldsUsage>
    </cacheHierarchy>
    <cacheHierarchy uniqueName="[Table1].[Year (Quarter)]" caption="Year (Quarter)" attribute="1" defaultMemberUniqueName="[Table1].[Year (Quarter)].[All]" allUniqueName="[Table1].[Year (Quarter)].[All]" dimensionUniqueName="[Table1]" displayFolder="" count="0" memberValueDatatype="130" unbalanced="0"/>
    <cacheHierarchy uniqueName="[Table1].[Year (Month)]" caption="Year (Month)" attribute="1" defaultMemberUniqueName="[Table1].[Year (Month)].[All]" allUniqueName="[Table1].[Year (Month)].[All]" dimensionUniqueName="[Table1]" displayFolder="" count="0" memberValueDatatype="130" unbalanced="0"/>
    <cacheHierarchy uniqueName="[Table1].[Year (Month Index)]" caption="Year (Month Index)" attribute="1" defaultMemberUniqueName="[Table1].[Year (Month Index)].[All]" allUniqueName="[Table1].[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RADA JADHAV" refreshedDate="45901.576236574074" backgroundQuery="1" createdVersion="3" refreshedVersion="8" minRefreshableVersion="3" recordCount="0" supportSubquery="1" supportAdvancedDrill="1" xr:uid="{F2D863BE-BF70-44A2-8F1C-608217F916F0}">
  <cacheSource type="external" connectionId="3">
    <extLst>
      <ext xmlns:x14="http://schemas.microsoft.com/office/spreadsheetml/2009/9/main" uri="{F057638F-6D5F-4e77-A914-E7F072B9BCA8}">
        <x14:sourceConnection name="ThisWorkbookDataModel"/>
      </ext>
    </extLst>
  </cacheSource>
  <cacheFields count="0"/>
  <cacheHierarchies count="10">
    <cacheHierarchy uniqueName="[Table1].[Year]" caption="Year" attribute="1" time="1" defaultMemberUniqueName="[Table1].[Year].[All]" allUniqueName="[Table1].[Year].[All]" dimensionUniqueName="[Table1]" displayFolder="" count="0" memberValueDatatype="7" unbalanced="0"/>
    <cacheHierarchy uniqueName="[Table1].[Metric]" caption="Metric" attribute="1" defaultMemberUniqueName="[Table1].[Metric].[All]" allUniqueName="[Table1].[Metric].[All]" dimensionUniqueName="[Table1]" displayFolder="" count="2" memberValueDatatype="130" unbalanced="0"/>
    <cacheHierarchy uniqueName="[Table1].[Value]" caption="Value" attribute="1" defaultMemberUniqueName="[Table1].[Value].[All]" allUniqueName="[Table1].[Value].[All]" dimensionUniqueName="[Table1]" displayFolder="" count="0" memberValueDatatype="5" unbalanced="0"/>
    <cacheHierarchy uniqueName="[Table1].[Year (Year)]" caption="Year (Year)" attribute="1" defaultMemberUniqueName="[Table1].[Year (Year)].[All]" allUniqueName="[Table1].[Year (Year)].[All]" dimensionUniqueName="[Table1]" displayFolder="" count="2" memberValueDatatype="130" unbalanced="0"/>
    <cacheHierarchy uniqueName="[Table1].[Year (Quarter)]" caption="Year (Quarter)" attribute="1" defaultMemberUniqueName="[Table1].[Year (Quarter)].[All]" allUniqueName="[Table1].[Year (Quarter)].[All]" dimensionUniqueName="[Table1]" displayFolder="" count="0" memberValueDatatype="130" unbalanced="0"/>
    <cacheHierarchy uniqueName="[Table1].[Year (Month)]" caption="Year (Month)" attribute="1" defaultMemberUniqueName="[Table1].[Year (Month)].[All]" allUniqueName="[Table1].[Year (Month)].[All]" dimensionUniqueName="[Table1]" displayFolder="" count="0" memberValueDatatype="130" unbalanced="0"/>
    <cacheHierarchy uniqueName="[Table1].[Year (Month Index)]" caption="Year (Month Index)" attribute="1" defaultMemberUniqueName="[Table1].[Year (Month Index)].[All]" allUniqueName="[Table1].[Year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Value]" caption="Sum of Valu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0840358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449035-3C24-4347-B0C6-55A71C0364FD}" name="PivotTable10"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49:G52" firstHeaderRow="1" firstDataRow="2" firstDataCol="1"/>
  <pivotFields count="3">
    <pivotField axis="axisCol"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0"/>
  </colFields>
  <colItems count="5">
    <i>
      <x/>
    </i>
    <i>
      <x v="1"/>
    </i>
    <i>
      <x v="2"/>
    </i>
    <i>
      <x v="3"/>
    </i>
    <i t="grand">
      <x/>
    </i>
  </colItems>
  <dataFields count="1">
    <dataField name="Sum of Value" fld="1" baseField="0" baseItem="0"/>
  </dataFields>
  <chartFormats count="4">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Hierarchies count="10">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RFDAEP final formating to parth.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FA7698-0F09-43DF-96D0-56E7C4D14660}" name="PivotTable5"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65:F68" firstHeaderRow="1" firstDataRow="2" firstDataCol="1"/>
  <pivotFields count="3">
    <pivotField axis="axisCol" allDrilled="1" subtotalTop="0" showAll="0" dataSourceSort="1" defaultSubtotal="0" defaultAttributeDrillState="1">
      <items count="7">
        <item s="1" x="0"/>
        <item s="1" x="1"/>
        <item s="1" x="2"/>
        <item x="3"/>
        <item x="4"/>
        <item x="5"/>
        <item x="6"/>
      </items>
    </pivotField>
    <pivotField dataField="1" subtotalTop="0" showAll="0" defaultSubtotal="0"/>
    <pivotField axis="axisRow" allDrilled="1" subtotalTop="0" showAll="0" dataSourceSort="1" defaultSubtotal="0" defaultAttributeDrillState="1">
      <items count="3">
        <item s="1" x="0"/>
        <item x="1"/>
        <item x="2"/>
      </items>
    </pivotField>
  </pivotFields>
  <rowFields count="1">
    <field x="2"/>
  </rowFields>
  <rowItems count="2">
    <i>
      <x/>
    </i>
    <i t="grand">
      <x/>
    </i>
  </rowItems>
  <colFields count="1">
    <field x="0"/>
  </colFields>
  <colItems count="4">
    <i>
      <x/>
    </i>
    <i>
      <x v="1"/>
    </i>
    <i>
      <x v="2"/>
    </i>
    <i t="grand">
      <x/>
    </i>
  </colItems>
  <dataFields count="1">
    <dataField name="Sum of Value" fld="1" baseField="0" baseItem="0"/>
  </dataFields>
  <formats count="1">
    <format dxfId="7">
      <pivotArea collapsedLevelsAreSubtotals="1" fieldPosition="0">
        <references count="2">
          <reference field="0" count="3">
            <x v="0"/>
            <x v="1"/>
            <x v="2"/>
          </reference>
          <reference field="2" count="0" selected="0"/>
        </references>
      </pivotArea>
    </format>
  </formats>
  <chartFormats count="32">
    <chartFormat chart="2" format="8" series="1">
      <pivotArea type="data" outline="0" fieldPosition="0">
        <references count="2">
          <reference field="4294967294" count="1" selected="0">
            <x v="0"/>
          </reference>
          <reference field="0" count="1" selected="0">
            <x v="3"/>
          </reference>
        </references>
      </pivotArea>
    </chartFormat>
    <chartFormat chart="2" format="9" series="1">
      <pivotArea type="data" outline="0" fieldPosition="0">
        <references count="2">
          <reference field="4294967294" count="1" selected="0">
            <x v="0"/>
          </reference>
          <reference field="0" count="1" selected="0">
            <x v="4"/>
          </reference>
        </references>
      </pivotArea>
    </chartFormat>
    <chartFormat chart="2" format="10" series="1">
      <pivotArea type="data" outline="0" fieldPosition="0">
        <references count="2">
          <reference field="4294967294" count="1" selected="0">
            <x v="0"/>
          </reference>
          <reference field="0" count="1" selected="0">
            <x v="5"/>
          </reference>
        </references>
      </pivotArea>
    </chartFormat>
    <chartFormat chart="2" format="11" series="1">
      <pivotArea type="data" outline="0" fieldPosition="0">
        <references count="2">
          <reference field="4294967294" count="1" selected="0">
            <x v="0"/>
          </reference>
          <reference field="0" count="1" selected="0">
            <x v="6"/>
          </reference>
        </references>
      </pivotArea>
    </chartFormat>
    <chartFormat chart="3" format="0" series="1">
      <pivotArea type="data" outline="0" fieldPosition="0">
        <references count="2">
          <reference field="4294967294" count="1" selected="0">
            <x v="0"/>
          </reference>
          <reference field="2" count="1" selected="0">
            <x v="2"/>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6" format="0" series="1">
      <pivotArea type="data" outline="0" fieldPosition="0">
        <references count="2">
          <reference field="4294967294" count="1" selected="0">
            <x v="0"/>
          </reference>
          <reference field="2" count="1" selected="0">
            <x v="2"/>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0" count="1" selected="0">
            <x v="1"/>
          </reference>
        </references>
      </pivotArea>
    </chartFormat>
    <chartFormat chart="6" format="5"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5" format="10" series="1">
      <pivotArea type="data" outline="0" fieldPosition="0">
        <references count="2">
          <reference field="4294967294" count="1" selected="0">
            <x v="0"/>
          </reference>
          <reference field="0" count="1" selected="0">
            <x v="1"/>
          </reference>
        </references>
      </pivotArea>
    </chartFormat>
    <chartFormat chart="5" format="11" series="1">
      <pivotArea type="data" outline="0" fieldPosition="0">
        <references count="2">
          <reference field="4294967294" count="1" selected="0">
            <x v="0"/>
          </reference>
          <reference field="0" count="1" selected="0">
            <x v="2"/>
          </reference>
        </references>
      </pivotArea>
    </chartFormat>
    <chartFormat chart="5" format="12"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4" format="9"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s>
  <pivotHierarchies count="10">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RFDAEP final formating to parth.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995F21-E1AA-403B-9C0D-60994A1A50F8}" name="PivotTable9" cacheId="1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Years">
  <location ref="B42:E45" firstHeaderRow="1" firstDataRow="2" firstDataCol="1"/>
  <pivotFields count="3">
    <pivotField axis="axisCol"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0"/>
  </colFields>
  <colItems count="3">
    <i>
      <x/>
    </i>
    <i>
      <x v="1"/>
    </i>
    <i t="grand">
      <x/>
    </i>
  </colItems>
  <dataFields count="1">
    <dataField name="Sum of Value" fld="1" baseField="0" baseItem="0"/>
  </dataFields>
  <formats count="1">
    <format dxfId="8">
      <pivotArea collapsedLevelsAreSubtotals="1" fieldPosition="0">
        <references count="2">
          <reference field="0" count="0" selected="0"/>
          <reference field="2" count="0"/>
        </references>
      </pivotArea>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10">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RFDAEP final formating to parth.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E60D29-1FD0-4AA4-B51B-7480397A712A}" name="PivotTable1" cacheId="1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Ratios">
  <location ref="B57:D63" firstHeaderRow="1" firstDataRow="2" firstDataCol="1"/>
  <pivotFields count="3">
    <pivotField axis="axisRow" allDrilled="1" subtotalTop="0" showAll="0" dataSourceSort="1" defaultSubtotal="0" defaultAttributeDrillState="1">
      <items count="15">
        <item s="1" x="0"/>
        <item s="1" x="1"/>
        <item s="1" x="2"/>
        <item s="1"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3">
        <item s="1" x="0"/>
        <item x="1"/>
        <item x="2"/>
      </items>
    </pivotField>
  </pivotFields>
  <rowFields count="1">
    <field x="0"/>
  </rowFields>
  <rowItems count="5">
    <i>
      <x/>
    </i>
    <i>
      <x v="1"/>
    </i>
    <i>
      <x v="2"/>
    </i>
    <i>
      <x v="3"/>
    </i>
    <i t="grand">
      <x/>
    </i>
  </rowItems>
  <colFields count="1">
    <field x="2"/>
  </colFields>
  <colItems count="2">
    <i>
      <x/>
    </i>
    <i t="grand">
      <x/>
    </i>
  </colItems>
  <dataFields count="1">
    <dataField name="Sum of Value" fld="1" baseField="0" baseItem="0"/>
  </dataFields>
  <formats count="3">
    <format dxfId="11">
      <pivotArea collapsedLevelsAreSubtotals="1" fieldPosition="0">
        <references count="1">
          <reference field="0" count="10">
            <x v="0"/>
            <x v="1"/>
            <x v="3"/>
            <x v="4"/>
            <x v="5"/>
            <x v="6"/>
            <x v="7"/>
            <x v="8"/>
            <x v="9"/>
            <x v="11"/>
          </reference>
        </references>
      </pivotArea>
    </format>
    <format dxfId="10">
      <pivotArea collapsedLevelsAreSubtotals="1" fieldPosition="0">
        <references count="1">
          <reference field="0" count="9">
            <x v="0"/>
            <x v="1"/>
            <x v="3"/>
            <x v="4"/>
            <x v="5"/>
            <x v="6"/>
            <x v="8"/>
            <x v="9"/>
            <x v="11"/>
          </reference>
        </references>
      </pivotArea>
    </format>
    <format dxfId="9">
      <pivotArea collapsedLevelsAreSubtotals="1" fieldPosition="0">
        <references count="1">
          <reference field="0" count="1">
            <x v="7"/>
          </reference>
        </references>
      </pivotArea>
    </format>
  </formats>
  <chartFormats count="14">
    <chartFormat chart="0" format="0" series="1">
      <pivotArea type="data" outline="0" fieldPosition="0">
        <references count="2">
          <reference field="4294967294" count="1" selected="0">
            <x v="0"/>
          </reference>
          <reference field="0" count="1" selected="0">
            <x v="10"/>
          </reference>
        </references>
      </pivotArea>
    </chartFormat>
    <chartFormat chart="0" format="1" series="1">
      <pivotArea type="data" outline="0" fieldPosition="0">
        <references count="2">
          <reference field="4294967294" count="1" selected="0">
            <x v="0"/>
          </reference>
          <reference field="0" count="1" selected="0">
            <x v="12"/>
          </reference>
        </references>
      </pivotArea>
    </chartFormat>
    <chartFormat chart="0" format="2" series="1">
      <pivotArea type="data" outline="0" fieldPosition="0">
        <references count="2">
          <reference field="4294967294" count="1" selected="0">
            <x v="0"/>
          </reference>
          <reference field="0" count="1" selected="0">
            <x v="13"/>
          </reference>
        </references>
      </pivotArea>
    </chartFormat>
    <chartFormat chart="0" format="3" series="1">
      <pivotArea type="data" outline="0" fieldPosition="0">
        <references count="2">
          <reference field="4294967294" count="1" selected="0">
            <x v="0"/>
          </reference>
          <reference field="0" count="1" selected="0">
            <x v="14"/>
          </reference>
        </references>
      </pivotArea>
    </chartFormat>
    <chartFormat chart="2" format="8" series="1">
      <pivotArea type="data" outline="0" fieldPosition="0">
        <references count="2">
          <reference field="4294967294" count="1" selected="0">
            <x v="0"/>
          </reference>
          <reference field="0" count="1" selected="0">
            <x v="10"/>
          </reference>
        </references>
      </pivotArea>
    </chartFormat>
    <chartFormat chart="2" format="9" series="1">
      <pivotArea type="data" outline="0" fieldPosition="0">
        <references count="2">
          <reference field="4294967294" count="1" selected="0">
            <x v="0"/>
          </reference>
          <reference field="0" count="1" selected="0">
            <x v="12"/>
          </reference>
        </references>
      </pivotArea>
    </chartFormat>
    <chartFormat chart="2" format="10" series="1">
      <pivotArea type="data" outline="0" fieldPosition="0">
        <references count="2">
          <reference field="4294967294" count="1" selected="0">
            <x v="0"/>
          </reference>
          <reference field="0" count="1" selected="0">
            <x v="13"/>
          </reference>
        </references>
      </pivotArea>
    </chartFormat>
    <chartFormat chart="2" format="11" series="1">
      <pivotArea type="data" outline="0" fieldPosition="0">
        <references count="2">
          <reference field="4294967294" count="1" selected="0">
            <x v="0"/>
          </reference>
          <reference field="0" count="1" selected="0">
            <x v="14"/>
          </reference>
        </references>
      </pivotArea>
    </chartFormat>
    <chartFormat chart="3" format="0" series="1">
      <pivotArea type="data" outline="0" fieldPosition="0">
        <references count="2">
          <reference field="4294967294" count="1" selected="0">
            <x v="0"/>
          </reference>
          <reference field="2" count="1" selected="0">
            <x v="2"/>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s>
  <pivotHierarchies count="10">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RFDAEP final formating to parth.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7E8851-ED65-4EB2-B806-B89A22C0C547}" name="PivotTable8"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35:E38" firstHeaderRow="1" firstDataRow="2" firstDataCol="1"/>
  <pivotFields count="3">
    <pivotField axis="axisCol" allDrilled="1" subtotalTop="0" showAll="0" dataSourceSort="1" defaultSubtotal="0" defaultAttributeDrillState="1">
      <items count="2">
        <item s="1" x="0"/>
        <item s="1" x="1"/>
      </items>
    </pivotField>
    <pivotField dataField="1" subtotalTop="0" showAll="0" defaultSubtotal="0"/>
    <pivotField axis="axisRow" allDrilled="1" subtotalTop="0" showAll="0" dataSourceSort="1" defaultSubtotal="0" defaultAttributeDrillState="1">
      <items count="1">
        <item s="1" x="0"/>
      </items>
    </pivotField>
  </pivotFields>
  <rowFields count="1">
    <field x="2"/>
  </rowFields>
  <rowItems count="2">
    <i>
      <x/>
    </i>
    <i t="grand">
      <x/>
    </i>
  </rowItems>
  <colFields count="1">
    <field x="0"/>
  </colFields>
  <colItems count="3">
    <i>
      <x/>
    </i>
    <i>
      <x v="1"/>
    </i>
    <i t="grand">
      <x/>
    </i>
  </colItems>
  <dataFields count="1">
    <dataField name="Sum of Value" fld="1"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s>
  <pivotHierarchies count="10">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RFDAEP final formating to parth.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Year" xr10:uid="{184E5684-BD5B-4179-8716-BE39AECC07A7}" sourceName="[Table1].[Year (Year)]">
  <pivotTables>
    <pivotTable tabId="4" name="PivotTable8"/>
    <pivotTable tabId="4" name="PivotTable10"/>
    <pivotTable tabId="4" name="PivotTable9"/>
    <pivotTable tabId="4" name="PivotTable1"/>
    <pivotTable tabId="4" name="PivotTable5"/>
  </pivotTables>
  <data>
    <olap pivotCacheId="1084035801">
      <levels count="2">
        <level uniqueName="[Table1].[Year (Year)].[(All)]" sourceCaption="(All)" count="0"/>
        <level uniqueName="[Table1].[Year (Year)].[Year (Year)]" sourceCaption="Year (Year)" count="3">
          <ranges>
            <range startItem="0">
              <i n="[Table1].[Year (Year)].&amp;[2023]" c="2023"/>
              <i n="[Table1].[Year (Year)].&amp;[2024]" c="2024"/>
              <i n="[Table1].[Year (Year)].&amp;[2025]" c="2025"/>
            </range>
          </ranges>
        </level>
      </levels>
      <selections count="1">
        <selection n="[Table1].[Year (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694E1701-9294-46A7-B941-3D1242BCCD90}" sourceName="[Table1].[Metric]">
  <pivotTables>
    <pivotTable tabId="4" name="PivotTable1"/>
  </pivotTables>
  <data>
    <olap pivotCacheId="1084035801">
      <levels count="2">
        <level uniqueName="[Table1].[Metric].[(All)]" sourceCaption="(All)" count="0"/>
        <level uniqueName="[Table1].[Metric].[Metric]" sourceCaption="Metric" count="25">
          <ranges>
            <range startItem="0">
              <i n="[Table1].[Metric].&amp;[Cash Ratio]" c="Cash Ratio"/>
              <i n="[Table1].[Metric].&amp;[CFF]" c="CFF"/>
              <i n="[Table1].[Metric].&amp;[CFI]" c="CFI"/>
              <i n="[Table1].[Metric].&amp;[CFO]" c="CFO"/>
              <i n="[Table1].[Metric].&amp;[Current Ratio]" c="Current Ratio"/>
              <i n="[Table1].[Metric].&amp;[Debt to Equity]" c="Debt to Equity"/>
              <i n="[Table1].[Metric].&amp;[Debt to total assets]" c="Debt to total assets"/>
              <i n="[Table1].[Metric].&amp;[EV/EBITDA]" c="EV/EBITDA"/>
              <i n="[Table1].[Metric].&amp;[Gross Profit Margin]" c="Gross Profit Margin"/>
              <i n="[Table1].[Metric].&amp;[Interest coverage ratio]" c="Interest coverage ratio"/>
              <i n="[Table1].[Metric].&amp;[Net Cash Flow]" c="Net Cash Flow"/>
              <i n="[Table1].[Metric].&amp;[Net income to liabilities]" c="Net income to liabilities"/>
              <i n="[Table1].[Metric].&amp;[Net profit]" c="Net profit"/>
              <i n="[Table1].[Metric].&amp;[Net Profit Margin]" c="Net Profit Margin"/>
              <i n="[Table1].[Metric].&amp;[Operating Profit Margin]" c="Operating Profit Margin"/>
              <i n="[Table1].[Metric].&amp;[P/E Ratio]" c="P/E Ratio"/>
              <i n="[Table1].[Metric].&amp;[Quick Ratio]" c="Quick Ratio"/>
              <i n="[Table1].[Metric].&amp;[Revenue]" c="Revenue"/>
              <i n="[Table1].[Metric].&amp;[ROA]" c="ROA"/>
              <i n="[Table1].[Metric].&amp;[ROE]" c="ROE"/>
              <i n="[Table1].[Metric].&amp;[Times interest earned ]" c="Times interest earned "/>
              <i n="[Table1].[Metric].&amp;[CFF3]" c="CFF3" nd="1"/>
              <i n="[Table1].[Metric].&amp;[CFI2]" c="CFI2" nd="1"/>
              <i n="[Table1].[Metric].&amp;[CFO1]" c="CFO1" nd="1"/>
              <i n="[Table1].[Metric].&amp;[Net Cash Flow4]" c="Net Cash Flow4" nd="1"/>
            </range>
          </ranges>
        </level>
      </levels>
      <selections count="4">
        <selection n="[Table1].[Metric].&amp;[Cash Ratio]"/>
        <selection n="[Table1].[Metric].&amp;[Current Ratio]"/>
        <selection n="[Table1].[Metric].&amp;[Gross Profit Margin]"/>
        <selection n="[Table1].[Metric].&amp;[Quick Rati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Year)" xr10:uid="{4F41EF26-C0CB-4315-8E20-98FF8BA18804}" cache="Slicer_Year__Year" caption="Year (Year)" level="1" rowHeight="234950"/>
  <slicer name="Metric" xr10:uid="{7A10E079-7A7D-43B5-9B5E-EA02E886AF28}" cache="Slicer_Metric" caption="Metric" startItem="16"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BD76D8-E0FB-4578-AB10-CB430A3872E4}" name="Table1" displayName="Table1" ref="A46:C113" totalsRowShown="0" headerRowDxfId="6" headerRowBorderDxfId="5" tableBorderDxfId="4" totalsRowBorderDxfId="3">
  <autoFilter ref="A46:C113" xr:uid="{31BD76D8-E0FB-4578-AB10-CB430A3872E4}"/>
  <tableColumns count="3">
    <tableColumn id="1" xr3:uid="{268D9B29-5DD8-445A-8BCC-E101BA7154E2}" name="Year" dataDxfId="2"/>
    <tableColumn id="2" xr3:uid="{BC667378-7DD4-46B9-8496-083144891C9A}" name="Metric" dataDxfId="1"/>
    <tableColumn id="3" xr3:uid="{1C0573D4-A883-4AFD-8F41-302359AC804F}"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 dT="2025-08-25T17:06:27.96" personId="{28423398-EC1E-4248-B37A-79130FBED320}" id="{02BEA39F-3D13-4CF6-BF6E-0577A70BCDCD}">
    <text>Not in Cr.</text>
  </threadedComment>
  <threadedComment ref="A17" dT="2025-08-25T17:05:48.37" personId="{28423398-EC1E-4248-B37A-79130FBED320}" id="{C6F2FE02-9677-455B-9B9A-D2CD491E126C}">
    <text>Not in Cr.</text>
  </threadedComment>
</ThreadedComments>
</file>

<file path=xl/threadedComments/threadedComment2.xml><?xml version="1.0" encoding="utf-8"?>
<ThreadedComments xmlns="http://schemas.microsoft.com/office/spreadsheetml/2018/threadedcomments" xmlns:x="http://schemas.openxmlformats.org/spreadsheetml/2006/main">
  <threadedComment ref="B27" dT="2025-08-25T12:11:35.82" personId="{28423398-EC1E-4248-B37A-79130FBED320}" id="{BFCE15A2-E5D8-42F6-BB69-972C2A55BA90}">
    <text>Calculation is done using only the given years Total Assets whereas other ROA’s are calculated using Average Total Assets.</text>
  </threadedComment>
</ThreadedComments>
</file>

<file path=xl/threadedComments/threadedComment3.xml><?xml version="1.0" encoding="utf-8"?>
<ThreadedComments xmlns="http://schemas.microsoft.com/office/spreadsheetml/2018/threadedcomments" xmlns:x="http://schemas.openxmlformats.org/spreadsheetml/2006/main">
  <threadedComment ref="B19" dT="2025-08-25T11:52:43.85" personId="{28423398-EC1E-4248-B37A-79130FBED320}" id="{72CAEA35-6A3F-49E1-8F80-693A4562AA41}">
    <text>Calculation is done using only the given years Total Assets whereas other ROA’s are calculated using Average Total Assets.</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52C88-1A50-4C29-9B87-E3EDAFE4AE2D}">
  <dimension ref="A1:S28"/>
  <sheetViews>
    <sheetView showGridLines="0" tabSelected="1" topLeftCell="A2" zoomScale="55" workbookViewId="0">
      <selection activeCell="Q45" sqref="Q45"/>
    </sheetView>
  </sheetViews>
  <sheetFormatPr defaultRowHeight="14.4" x14ac:dyDescent="0.3"/>
  <cols>
    <col min="1" max="1" width="12.6640625" bestFit="1" customWidth="1"/>
    <col min="17" max="17" width="16.21875" bestFit="1" customWidth="1"/>
  </cols>
  <sheetData>
    <row r="1" spans="1:19" ht="30" hidden="1" customHeight="1" x14ac:dyDescent="0.3">
      <c r="C1">
        <f>_xlfn.XLOOKUP('Profit and loss'!A14,'Profit and loss'!A4:A17,'Profit and loss'!D4:D17)</f>
        <v>1869.28</v>
      </c>
      <c r="D1">
        <f>_xlfn.XLOOKUP('Profit and loss'!A5,'Profit and loss'!A4:A17,'Profit and loss'!D4:D17)</f>
        <v>28152.5</v>
      </c>
      <c r="E1" s="15">
        <f>_xlfn.XLOOKUP(Analysis!A18,Analysis!A14:A21,Analysis!D14:D21)</f>
        <v>0.10110522996507008</v>
      </c>
      <c r="F1" s="3">
        <f>_xlfn.XLOOKUP(Analysis!B29,Analysis!B25:B32,Analysis!E25:E32)</f>
        <v>0.13494209630680679</v>
      </c>
      <c r="Q1" s="15">
        <f>_xlfn.XLOOKUP(P2,Analysis!E6:E10,Analysis!F6:F10)</f>
        <v>6.9573472786885748E-2</v>
      </c>
    </row>
    <row r="2" spans="1:19" ht="22.2" customHeight="1" x14ac:dyDescent="0.45">
      <c r="A2" s="117" t="s">
        <v>153</v>
      </c>
      <c r="B2" s="117"/>
      <c r="C2" s="117"/>
      <c r="D2" s="85"/>
      <c r="E2" s="85"/>
      <c r="F2" s="85"/>
      <c r="G2" s="85"/>
      <c r="H2" s="85"/>
      <c r="I2" s="85"/>
      <c r="J2" s="85"/>
      <c r="K2" s="85"/>
      <c r="L2" s="85"/>
      <c r="M2" s="85"/>
      <c r="N2" s="117" t="s">
        <v>154</v>
      </c>
      <c r="O2" s="117"/>
      <c r="P2" s="86" t="s">
        <v>70</v>
      </c>
      <c r="Q2" s="85"/>
      <c r="R2" s="85"/>
      <c r="S2" s="85"/>
    </row>
    <row r="28" spans="1:10" ht="25.8" x14ac:dyDescent="0.5">
      <c r="A28" s="106">
        <f>IF(OR(J28="All",J28="2025"),'Cash Flow'!D4,IF(J28="2024",'Cash Flow'!C4,'Cash Flow'!B4))</f>
        <v>45747</v>
      </c>
      <c r="B28" s="104"/>
      <c r="I28" s="103" t="s">
        <v>169</v>
      </c>
      <c r="J28" s="103" t="str" cm="1" vm="1">
        <f t="array" ref="J28">CUBERANKEDMEMBER("ThisWorkbookDataModel",Slicer_Year__Year,1)</f>
        <v>2025</v>
      </c>
    </row>
  </sheetData>
  <mergeCells count="2">
    <mergeCell ref="A2:C2"/>
    <mergeCell ref="N2:O2"/>
  </mergeCells>
  <dataValidations count="1">
    <dataValidation allowBlank="1" showInputMessage="1" showErrorMessage="1" promptTitle="Year" sqref="N2" xr:uid="{67F3BBBD-35D1-4D3F-B395-85D4F81B44FF}"/>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8CD4F1B-E129-4969-84EE-924407A0F51D}">
          <x14:formula1>
            <xm:f>Analysis!$E$6:$E$10</xm:f>
          </x14:formula1>
          <xm:sqref>P2</xm:sqref>
        </x14:dataValidation>
        <x14:dataValidation type="list" allowBlank="1" showInputMessage="1" showErrorMessage="1" xr:uid="{2CF8ED2C-F920-4576-AABC-6788327DA6F2}">
          <x14:formula1>
            <xm:f>'Cash Flow'!$B$4:$D$4</xm:f>
          </x14:formula1>
          <xm:sqref>B28</xm:sqref>
        </x14:dataValidation>
      </x14:dataValidation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E93-14A2-4C13-812E-DB1863BEEA85}">
  <dimension ref="A1:O58"/>
  <sheetViews>
    <sheetView zoomScaleNormal="100" workbookViewId="0">
      <pane xSplit="1" topLeftCell="B1" activePane="topRight" state="frozen"/>
      <selection pane="topRight" activeCell="I21" sqref="I21"/>
    </sheetView>
  </sheetViews>
  <sheetFormatPr defaultRowHeight="14.4" x14ac:dyDescent="0.3"/>
  <cols>
    <col min="1" max="1" width="34.6640625" customWidth="1"/>
    <col min="2" max="2" width="9" bestFit="1" customWidth="1"/>
  </cols>
  <sheetData>
    <row r="1" spans="1:15" x14ac:dyDescent="0.3">
      <c r="A1" s="1" t="s">
        <v>0</v>
      </c>
      <c r="B1" s="4" t="s">
        <v>6</v>
      </c>
    </row>
    <row r="2" spans="1:15" ht="21" x14ac:dyDescent="0.4">
      <c r="A2" s="2" t="s">
        <v>1</v>
      </c>
      <c r="B2" s="3">
        <f>IF(B5&gt;0, B5/B4, 0)</f>
        <v>0.4241143012101285</v>
      </c>
      <c r="C2" t="s">
        <v>5</v>
      </c>
      <c r="G2" s="107" t="s">
        <v>49</v>
      </c>
      <c r="H2" s="107"/>
      <c r="I2" s="107"/>
      <c r="J2" s="107"/>
      <c r="K2" s="107"/>
      <c r="L2" s="107"/>
      <c r="M2" s="107"/>
      <c r="N2" s="107"/>
      <c r="O2" s="107"/>
    </row>
    <row r="3" spans="1:15" x14ac:dyDescent="0.3">
      <c r="A3" s="2" t="s">
        <v>2</v>
      </c>
      <c r="B3">
        <v>10</v>
      </c>
    </row>
    <row r="4" spans="1:15" x14ac:dyDescent="0.3">
      <c r="A4" s="2" t="s">
        <v>3</v>
      </c>
      <c r="B4">
        <v>147505</v>
      </c>
    </row>
    <row r="5" spans="1:15" x14ac:dyDescent="0.3">
      <c r="A5" s="2" t="s">
        <v>4</v>
      </c>
      <c r="B5">
        <v>62558.98</v>
      </c>
      <c r="C5" t="s">
        <v>5</v>
      </c>
    </row>
    <row r="7" spans="1:15" x14ac:dyDescent="0.3">
      <c r="A7" s="1" t="s">
        <v>7</v>
      </c>
    </row>
    <row r="8" spans="1:15" x14ac:dyDescent="0.3">
      <c r="A8" s="5" t="s">
        <v>8</v>
      </c>
      <c r="B8" s="6">
        <v>45016</v>
      </c>
      <c r="C8" s="6">
        <v>45382</v>
      </c>
      <c r="D8" s="6">
        <v>45747</v>
      </c>
      <c r="E8" s="6"/>
      <c r="F8" s="6"/>
      <c r="G8" s="6"/>
      <c r="H8" s="6"/>
    </row>
    <row r="9" spans="1:15" x14ac:dyDescent="0.3">
      <c r="A9" s="7" t="s">
        <v>9</v>
      </c>
      <c r="B9">
        <v>23008.33</v>
      </c>
      <c r="C9">
        <v>25168.73</v>
      </c>
      <c r="D9">
        <v>28152.5</v>
      </c>
    </row>
    <row r="10" spans="1:15" x14ac:dyDescent="0.3">
      <c r="A10" s="2" t="s">
        <v>10</v>
      </c>
      <c r="B10">
        <v>15786.49</v>
      </c>
      <c r="C10">
        <v>15265.35</v>
      </c>
      <c r="D10">
        <v>18516.43</v>
      </c>
    </row>
    <row r="11" spans="1:15" x14ac:dyDescent="0.3">
      <c r="A11" s="19" t="s">
        <v>83</v>
      </c>
      <c r="B11" s="20">
        <f>B9-B10</f>
        <v>7221.840000000002</v>
      </c>
      <c r="C11" s="20">
        <f>C9-C10</f>
        <v>9903.3799999999992</v>
      </c>
      <c r="D11" s="20">
        <f>D9-D10</f>
        <v>9636.07</v>
      </c>
      <c r="E11" s="20"/>
      <c r="F11" s="20"/>
      <c r="G11" s="20"/>
      <c r="H11" s="20"/>
    </row>
    <row r="12" spans="1:15" x14ac:dyDescent="0.3">
      <c r="A12" s="2" t="s">
        <v>11</v>
      </c>
      <c r="B12">
        <v>346.91</v>
      </c>
      <c r="C12">
        <v>184.32</v>
      </c>
      <c r="D12">
        <v>590.30999999999995</v>
      </c>
    </row>
    <row r="13" spans="1:15" x14ac:dyDescent="0.3">
      <c r="A13" s="2" t="s">
        <v>12</v>
      </c>
      <c r="B13">
        <v>1136.03</v>
      </c>
      <c r="C13">
        <v>1148.6500000000001</v>
      </c>
      <c r="D13">
        <v>1215.5899999999999</v>
      </c>
    </row>
    <row r="14" spans="1:15" x14ac:dyDescent="0.3">
      <c r="A14" s="2" t="s">
        <v>13</v>
      </c>
      <c r="B14">
        <v>958.08</v>
      </c>
      <c r="C14">
        <v>1066.43</v>
      </c>
      <c r="D14">
        <v>1212.72</v>
      </c>
    </row>
    <row r="15" spans="1:15" x14ac:dyDescent="0.3">
      <c r="A15" s="2" t="s">
        <v>14</v>
      </c>
      <c r="B15">
        <v>1595.65</v>
      </c>
      <c r="C15">
        <v>1798.47</v>
      </c>
      <c r="D15">
        <v>1885.45</v>
      </c>
    </row>
    <row r="16" spans="1:15" x14ac:dyDescent="0.3">
      <c r="A16" s="2" t="s">
        <v>15</v>
      </c>
      <c r="B16">
        <v>1241.1500000000001</v>
      </c>
      <c r="C16">
        <v>1551.58</v>
      </c>
      <c r="D16">
        <v>1580</v>
      </c>
    </row>
    <row r="17" spans="1:8" x14ac:dyDescent="0.3">
      <c r="A17" s="2" t="s">
        <v>16</v>
      </c>
      <c r="B17">
        <v>233.65</v>
      </c>
      <c r="C17">
        <v>250.31</v>
      </c>
      <c r="D17">
        <v>237.97</v>
      </c>
    </row>
    <row r="18" spans="1:8" x14ac:dyDescent="0.3">
      <c r="A18" s="7" t="s">
        <v>17</v>
      </c>
      <c r="B18">
        <v>245.02</v>
      </c>
      <c r="C18">
        <v>306.16000000000003</v>
      </c>
      <c r="D18">
        <v>405.67</v>
      </c>
    </row>
    <row r="19" spans="1:8" x14ac:dyDescent="0.3">
      <c r="A19" s="7" t="s">
        <v>18</v>
      </c>
      <c r="B19">
        <v>1253.04</v>
      </c>
      <c r="C19">
        <v>1429.97</v>
      </c>
      <c r="D19">
        <v>1653.55</v>
      </c>
    </row>
    <row r="20" spans="1:8" x14ac:dyDescent="0.3">
      <c r="A20" s="7" t="s">
        <v>19</v>
      </c>
      <c r="B20">
        <v>326.45</v>
      </c>
      <c r="C20">
        <v>361.03</v>
      </c>
      <c r="D20">
        <v>367.77</v>
      </c>
    </row>
    <row r="21" spans="1:8" x14ac:dyDescent="0.3">
      <c r="A21" s="7" t="s">
        <v>20</v>
      </c>
      <c r="B21">
        <v>1069.72</v>
      </c>
      <c r="C21">
        <v>2787.42</v>
      </c>
      <c r="D21">
        <v>2479</v>
      </c>
    </row>
    <row r="22" spans="1:8" x14ac:dyDescent="0.3">
      <c r="A22" s="7" t="s">
        <v>21</v>
      </c>
      <c r="B22">
        <v>300.77999999999997</v>
      </c>
      <c r="C22">
        <v>706.19</v>
      </c>
      <c r="D22">
        <v>609.71</v>
      </c>
    </row>
    <row r="23" spans="1:8" x14ac:dyDescent="0.3">
      <c r="A23" s="7" t="s">
        <v>22</v>
      </c>
      <c r="B23">
        <v>768.93</v>
      </c>
      <c r="C23">
        <v>2081.2199999999998</v>
      </c>
      <c r="D23">
        <v>1869.28</v>
      </c>
    </row>
    <row r="24" spans="1:8" x14ac:dyDescent="0.3">
      <c r="A24" s="7" t="s">
        <v>23</v>
      </c>
      <c r="B24">
        <v>74.2</v>
      </c>
      <c r="C24">
        <v>84.8</v>
      </c>
      <c r="D24">
        <v>99.64</v>
      </c>
    </row>
    <row r="27" spans="1:8" x14ac:dyDescent="0.3">
      <c r="A27" s="1" t="s">
        <v>26</v>
      </c>
    </row>
    <row r="28" spans="1:8" x14ac:dyDescent="0.3">
      <c r="A28" s="5" t="s">
        <v>8</v>
      </c>
      <c r="B28" s="6">
        <v>45016</v>
      </c>
      <c r="C28" s="6">
        <v>45382</v>
      </c>
      <c r="D28" s="6">
        <v>45747</v>
      </c>
      <c r="E28" s="6"/>
      <c r="F28" s="6"/>
      <c r="G28" s="6"/>
      <c r="H28" s="6"/>
    </row>
    <row r="29" spans="1:8" x14ac:dyDescent="0.3">
      <c r="A29" s="7" t="s">
        <v>27</v>
      </c>
      <c r="B29">
        <v>4.24</v>
      </c>
      <c r="C29">
        <v>4.24</v>
      </c>
      <c r="D29">
        <v>4.24</v>
      </c>
    </row>
    <row r="30" spans="1:8" x14ac:dyDescent="0.3">
      <c r="A30" s="7" t="s">
        <v>28</v>
      </c>
      <c r="B30">
        <v>14703.42</v>
      </c>
      <c r="C30">
        <v>16698.75</v>
      </c>
      <c r="D30">
        <v>18484.22</v>
      </c>
    </row>
    <row r="31" spans="1:8" x14ac:dyDescent="0.3">
      <c r="A31" s="7" t="s">
        <v>29</v>
      </c>
      <c r="B31">
        <v>3013.61</v>
      </c>
      <c r="C31">
        <v>2821.5</v>
      </c>
      <c r="D31">
        <v>3771.16</v>
      </c>
    </row>
    <row r="32" spans="1:8" x14ac:dyDescent="0.3">
      <c r="A32" s="7" t="s">
        <v>30</v>
      </c>
      <c r="B32">
        <v>6648.14</v>
      </c>
      <c r="C32">
        <v>7324.94</v>
      </c>
      <c r="D32">
        <v>7307.37</v>
      </c>
    </row>
    <row r="33" spans="1:8" x14ac:dyDescent="0.3">
      <c r="A33" s="1" t="s">
        <v>31</v>
      </c>
      <c r="B33">
        <v>24369.41</v>
      </c>
      <c r="C33">
        <v>26849.43</v>
      </c>
      <c r="D33">
        <v>29566.99</v>
      </c>
    </row>
    <row r="34" spans="1:8" x14ac:dyDescent="0.3">
      <c r="A34" s="7" t="s">
        <v>32</v>
      </c>
      <c r="B34">
        <v>10117.969999999999</v>
      </c>
      <c r="C34">
        <v>12046.22</v>
      </c>
      <c r="D34">
        <v>13220.78</v>
      </c>
    </row>
    <row r="35" spans="1:8" x14ac:dyDescent="0.3">
      <c r="A35" s="7" t="s">
        <v>33</v>
      </c>
      <c r="B35">
        <v>3045.86</v>
      </c>
      <c r="C35">
        <v>2384.5300000000002</v>
      </c>
      <c r="D35">
        <v>1168.6300000000001</v>
      </c>
    </row>
    <row r="36" spans="1:8" x14ac:dyDescent="0.3">
      <c r="A36" s="7" t="s">
        <v>34</v>
      </c>
      <c r="B36">
        <v>3085.11</v>
      </c>
      <c r="C36">
        <v>3382.97</v>
      </c>
      <c r="D36">
        <v>4548.24</v>
      </c>
    </row>
    <row r="37" spans="1:8" x14ac:dyDescent="0.3">
      <c r="A37" s="7" t="s">
        <v>35</v>
      </c>
      <c r="B37">
        <v>8120.47</v>
      </c>
      <c r="C37">
        <v>9035.7099999999991</v>
      </c>
      <c r="D37">
        <v>10629.34</v>
      </c>
    </row>
    <row r="38" spans="1:8" x14ac:dyDescent="0.3">
      <c r="A38" s="1" t="s">
        <v>31</v>
      </c>
      <c r="B38">
        <v>24369.41</v>
      </c>
      <c r="C38">
        <v>26849.43</v>
      </c>
      <c r="D38">
        <v>29566.99</v>
      </c>
    </row>
    <row r="39" spans="1:8" x14ac:dyDescent="0.3">
      <c r="A39" s="7" t="s">
        <v>36</v>
      </c>
      <c r="B39">
        <v>2503.27</v>
      </c>
      <c r="C39">
        <v>2911.96</v>
      </c>
      <c r="D39">
        <v>3370.25</v>
      </c>
    </row>
    <row r="40" spans="1:8" x14ac:dyDescent="0.3">
      <c r="A40" s="7" t="s">
        <v>37</v>
      </c>
      <c r="B40">
        <v>4141.05</v>
      </c>
      <c r="C40">
        <v>4468.58</v>
      </c>
      <c r="D40">
        <v>5624.78</v>
      </c>
    </row>
    <row r="41" spans="1:8" x14ac:dyDescent="0.3">
      <c r="A41" s="2" t="s">
        <v>38</v>
      </c>
      <c r="B41">
        <v>258.49</v>
      </c>
      <c r="C41">
        <v>345.38</v>
      </c>
      <c r="D41">
        <v>376.49</v>
      </c>
    </row>
    <row r="42" spans="1:8" x14ac:dyDescent="0.3">
      <c r="A42" s="2" t="s">
        <v>39</v>
      </c>
      <c r="B42">
        <v>4241143</v>
      </c>
      <c r="C42">
        <v>4241143</v>
      </c>
      <c r="D42">
        <v>4241143</v>
      </c>
    </row>
    <row r="43" spans="1:8" x14ac:dyDescent="0.3">
      <c r="A43" s="2" t="s">
        <v>40</v>
      </c>
    </row>
    <row r="44" spans="1:8" x14ac:dyDescent="0.3">
      <c r="A44" s="2" t="s">
        <v>41</v>
      </c>
      <c r="B44">
        <v>10</v>
      </c>
      <c r="C44">
        <v>10</v>
      </c>
      <c r="D44">
        <v>10</v>
      </c>
    </row>
    <row r="47" spans="1:8" x14ac:dyDescent="0.3">
      <c r="A47" s="1" t="s">
        <v>42</v>
      </c>
    </row>
    <row r="48" spans="1:8" x14ac:dyDescent="0.3">
      <c r="A48" s="5" t="s">
        <v>8</v>
      </c>
      <c r="B48" s="6">
        <f>B28</f>
        <v>45016</v>
      </c>
      <c r="C48" s="6">
        <f>C28</f>
        <v>45382</v>
      </c>
      <c r="D48" s="6">
        <f>D28</f>
        <v>45747</v>
      </c>
      <c r="E48" s="6"/>
      <c r="F48" s="6"/>
      <c r="G48" s="6"/>
      <c r="H48" s="6"/>
    </row>
    <row r="49" spans="1:4" x14ac:dyDescent="0.3">
      <c r="A49" s="7" t="s">
        <v>43</v>
      </c>
      <c r="B49">
        <v>2755.47</v>
      </c>
      <c r="C49">
        <v>3303.36</v>
      </c>
      <c r="D49">
        <v>1867.8</v>
      </c>
    </row>
    <row r="50" spans="1:4" x14ac:dyDescent="0.3">
      <c r="A50" s="7" t="s">
        <v>44</v>
      </c>
      <c r="B50">
        <v>-1921.81</v>
      </c>
      <c r="C50">
        <v>-2380.58</v>
      </c>
      <c r="D50">
        <v>-2082.23</v>
      </c>
    </row>
    <row r="51" spans="1:4" x14ac:dyDescent="0.3">
      <c r="A51" s="7" t="s">
        <v>45</v>
      </c>
      <c r="B51">
        <v>-839.54</v>
      </c>
      <c r="C51">
        <v>-868.22</v>
      </c>
      <c r="D51">
        <v>282</v>
      </c>
    </row>
    <row r="52" spans="1:4" x14ac:dyDescent="0.3">
      <c r="A52" s="7" t="s">
        <v>46</v>
      </c>
      <c r="B52">
        <v>-5.88</v>
      </c>
      <c r="C52">
        <v>54.56</v>
      </c>
      <c r="D52">
        <v>67.569999999999993</v>
      </c>
    </row>
    <row r="55" spans="1:4" x14ac:dyDescent="0.3">
      <c r="A55" s="1" t="s">
        <v>90</v>
      </c>
      <c r="B55">
        <v>84047.2</v>
      </c>
      <c r="C55">
        <v>133387.29999999999</v>
      </c>
      <c r="D55">
        <v>112677.75</v>
      </c>
    </row>
    <row r="56" spans="1:4" x14ac:dyDescent="0.3">
      <c r="A56" s="2"/>
      <c r="B56" s="2"/>
      <c r="C56" s="2"/>
      <c r="D56" s="2"/>
    </row>
    <row r="57" spans="1:4" x14ac:dyDescent="0.3">
      <c r="A57" s="1" t="s">
        <v>47</v>
      </c>
      <c r="B57" s="1"/>
      <c r="C57" s="1"/>
      <c r="D57" s="1"/>
    </row>
    <row r="58" spans="1:4" x14ac:dyDescent="0.3">
      <c r="A58" s="2" t="s">
        <v>48</v>
      </c>
      <c r="B58" s="8">
        <v>0.42</v>
      </c>
      <c r="C58" s="8">
        <v>0.42</v>
      </c>
      <c r="D58" s="8">
        <v>0.42</v>
      </c>
    </row>
  </sheetData>
  <mergeCells count="1">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8B43-D8EB-4563-A0DB-10BAF85930AD}">
  <dimension ref="A1:R37"/>
  <sheetViews>
    <sheetView workbookViewId="0">
      <pane xSplit="1" ySplit="4" topLeftCell="B5" activePane="bottomRight" state="frozen"/>
      <selection pane="topRight" activeCell="B1" sqref="B1"/>
      <selection pane="bottomLeft" activeCell="A5" sqref="A5"/>
      <selection pane="bottomRight" activeCell="B36" sqref="B36"/>
    </sheetView>
  </sheetViews>
  <sheetFormatPr defaultRowHeight="14.4" x14ac:dyDescent="0.3"/>
  <cols>
    <col min="1" max="1" width="21.5546875" bestFit="1" customWidth="1"/>
    <col min="2" max="4" width="9.5546875" bestFit="1" customWidth="1"/>
    <col min="5" max="5" width="7.21875" bestFit="1" customWidth="1"/>
    <col min="6" max="6" width="9.88671875" customWidth="1"/>
    <col min="7" max="7" width="10.5546875" bestFit="1" customWidth="1"/>
  </cols>
  <sheetData>
    <row r="1" spans="1:18" ht="14.4" customHeight="1" x14ac:dyDescent="0.3">
      <c r="A1" s="4" t="str">
        <f>'DATA SHEET'!B1</f>
        <v>MRF LTD</v>
      </c>
      <c r="B1" s="108" t="s">
        <v>73</v>
      </c>
      <c r="C1" s="108"/>
      <c r="D1" s="108"/>
      <c r="E1" s="108"/>
      <c r="F1" s="108"/>
      <c r="G1" s="108"/>
      <c r="H1" s="108"/>
      <c r="I1" s="108"/>
      <c r="J1" s="108"/>
      <c r="K1" s="108"/>
      <c r="L1" s="108"/>
      <c r="M1" s="108"/>
      <c r="N1" s="108"/>
      <c r="O1" s="108"/>
      <c r="P1" s="108"/>
      <c r="Q1" s="108"/>
      <c r="R1" s="108"/>
    </row>
    <row r="2" spans="1:18" ht="14.4" customHeight="1" x14ac:dyDescent="0.3">
      <c r="A2" s="24" t="s">
        <v>85</v>
      </c>
      <c r="B2" s="108"/>
      <c r="C2" s="108"/>
      <c r="D2" s="108"/>
      <c r="E2" s="108"/>
      <c r="F2" s="108"/>
      <c r="G2" s="108"/>
      <c r="H2" s="108"/>
      <c r="I2" s="108"/>
      <c r="J2" s="108"/>
      <c r="K2" s="108"/>
      <c r="L2" s="108"/>
      <c r="M2" s="108"/>
      <c r="N2" s="108"/>
      <c r="O2" s="108"/>
      <c r="P2" s="108"/>
      <c r="Q2" s="108"/>
      <c r="R2" s="108"/>
    </row>
    <row r="3" spans="1:18" x14ac:dyDescent="0.3">
      <c r="A3" s="18">
        <f>COUNT(A4:E4)</f>
        <v>3</v>
      </c>
    </row>
    <row r="4" spans="1:18" s="12" customFormat="1" x14ac:dyDescent="0.3">
      <c r="A4" s="9" t="s">
        <v>50</v>
      </c>
      <c r="B4" s="10">
        <f>'DATA SHEET'!B8</f>
        <v>45016</v>
      </c>
      <c r="C4" s="10">
        <f>'DATA SHEET'!C8</f>
        <v>45382</v>
      </c>
      <c r="D4" s="10">
        <f>'DATA SHEET'!D8</f>
        <v>45747</v>
      </c>
      <c r="E4" s="11"/>
      <c r="F4" s="11" t="s">
        <v>81</v>
      </c>
      <c r="G4" s="11"/>
      <c r="H4" s="10"/>
      <c r="I4" s="10"/>
      <c r="J4" s="10"/>
    </row>
    <row r="5" spans="1:18" x14ac:dyDescent="0.3">
      <c r="A5" s="4" t="str">
        <f>PROPER("Sales")</f>
        <v>Sales</v>
      </c>
      <c r="B5" s="3">
        <f>'DATA SHEET'!B9</f>
        <v>23008.33</v>
      </c>
      <c r="C5" s="3">
        <f>'DATA SHEET'!C9</f>
        <v>25168.73</v>
      </c>
      <c r="D5" s="3">
        <f>'DATA SHEET'!D9</f>
        <v>28152.5</v>
      </c>
      <c r="F5" s="15">
        <f>IF(B5&gt;0,(D5/B5)^(1/$A$3)-1,"")</f>
        <v>6.9573472786885748E-2</v>
      </c>
      <c r="G5" s="21"/>
    </row>
    <row r="6" spans="1:18" x14ac:dyDescent="0.3">
      <c r="A6" t="s">
        <v>24</v>
      </c>
      <c r="B6">
        <f>SUM('DATA SHEET'!B10,'DATA SHEET'!B13:B17,-1*'DATA SHEET'!B12)</f>
        <v>20604.140000000007</v>
      </c>
      <c r="C6">
        <f>SUM('DATA SHEET'!C10,'DATA SHEET'!C13:C17,-1*'DATA SHEET'!C12)</f>
        <v>20896.470000000005</v>
      </c>
      <c r="D6">
        <f>SUM('DATA SHEET'!D10,'DATA SHEET'!D13:D17,-1*'DATA SHEET'!D12)</f>
        <v>24057.850000000002</v>
      </c>
      <c r="F6" s="15">
        <f t="shared" ref="F6:F19" si="0">IF(B6&gt;0,(D6/B6)^(1/$A$3)-1,"")</f>
        <v>5.3013906953075951E-2</v>
      </c>
    </row>
    <row r="7" spans="1:18" x14ac:dyDescent="0.3">
      <c r="A7" s="4" t="s">
        <v>25</v>
      </c>
      <c r="B7" s="13">
        <f>B5-B6</f>
        <v>2404.1899999999951</v>
      </c>
      <c r="C7" s="13">
        <f>C5-C6</f>
        <v>4272.2599999999948</v>
      </c>
      <c r="D7" s="13">
        <f>D5-D6</f>
        <v>4094.6499999999978</v>
      </c>
      <c r="F7" s="15">
        <f t="shared" si="0"/>
        <v>0.19421539719169734</v>
      </c>
    </row>
    <row r="8" spans="1:18" x14ac:dyDescent="0.3">
      <c r="A8" t="s">
        <v>17</v>
      </c>
      <c r="B8">
        <f>'DATA SHEET'!B18</f>
        <v>245.02</v>
      </c>
      <c r="C8">
        <f>'DATA SHEET'!C18</f>
        <v>306.16000000000003</v>
      </c>
      <c r="D8">
        <f>'DATA SHEET'!D18</f>
        <v>405.67</v>
      </c>
      <c r="F8" s="15">
        <f t="shared" si="0"/>
        <v>0.18301554722923608</v>
      </c>
    </row>
    <row r="9" spans="1:18" x14ac:dyDescent="0.3">
      <c r="A9" s="78" t="s">
        <v>147</v>
      </c>
      <c r="B9" s="81">
        <f>SUM(B7:B8)</f>
        <v>2649.209999999995</v>
      </c>
      <c r="C9" s="81">
        <f>SUM(C7:C8)</f>
        <v>4578.4199999999946</v>
      </c>
      <c r="D9" s="81">
        <f>SUM(D7:D8)</f>
        <v>4500.3199999999979</v>
      </c>
      <c r="E9" s="79"/>
      <c r="F9" s="80">
        <f t="shared" si="0"/>
        <v>0.19318834728070833</v>
      </c>
      <c r="G9" s="80"/>
      <c r="H9" s="80"/>
    </row>
    <row r="10" spans="1:18" x14ac:dyDescent="0.3">
      <c r="A10" t="s">
        <v>18</v>
      </c>
      <c r="B10">
        <f>'DATA SHEET'!B19</f>
        <v>1253.04</v>
      </c>
      <c r="C10">
        <f>'DATA SHEET'!C19</f>
        <v>1429.97</v>
      </c>
      <c r="D10">
        <f>'DATA SHEET'!D19</f>
        <v>1653.55</v>
      </c>
      <c r="F10" s="15">
        <f t="shared" si="0"/>
        <v>9.6858989421933162E-2</v>
      </c>
    </row>
    <row r="11" spans="1:18" x14ac:dyDescent="0.3">
      <c r="A11" t="s">
        <v>19</v>
      </c>
      <c r="B11">
        <f>'DATA SHEET'!B20</f>
        <v>326.45</v>
      </c>
      <c r="C11">
        <f>'DATA SHEET'!C20</f>
        <v>361.03</v>
      </c>
      <c r="D11">
        <f>'DATA SHEET'!D20</f>
        <v>367.77</v>
      </c>
      <c r="F11" s="15">
        <f t="shared" si="0"/>
        <v>4.0526652605855418E-2</v>
      </c>
    </row>
    <row r="12" spans="1:18" x14ac:dyDescent="0.3">
      <c r="A12" t="s">
        <v>20</v>
      </c>
      <c r="B12">
        <f>'DATA SHEET'!B21</f>
        <v>1069.72</v>
      </c>
      <c r="C12">
        <f>'DATA SHEET'!C21</f>
        <v>2787.42</v>
      </c>
      <c r="D12">
        <f>'DATA SHEET'!D21</f>
        <v>2479</v>
      </c>
      <c r="F12" s="15">
        <f t="shared" si="0"/>
        <v>0.32333196720147339</v>
      </c>
    </row>
    <row r="13" spans="1:18" x14ac:dyDescent="0.3">
      <c r="A13" t="s">
        <v>21</v>
      </c>
      <c r="B13">
        <f>'DATA SHEET'!B22</f>
        <v>300.77999999999997</v>
      </c>
      <c r="C13">
        <f>'DATA SHEET'!C22</f>
        <v>706.19</v>
      </c>
      <c r="D13">
        <f>'DATA SHEET'!D22</f>
        <v>609.71</v>
      </c>
      <c r="F13" s="15">
        <f t="shared" si="0"/>
        <v>0.26558539492990785</v>
      </c>
    </row>
    <row r="14" spans="1:18" x14ac:dyDescent="0.3">
      <c r="A14" s="4" t="s">
        <v>22</v>
      </c>
      <c r="B14" s="4">
        <f>'DATA SHEET'!B23</f>
        <v>768.93</v>
      </c>
      <c r="C14" s="4">
        <f>'DATA SHEET'!C23</f>
        <v>2081.2199999999998</v>
      </c>
      <c r="D14" s="4">
        <f>'DATA SHEET'!D23</f>
        <v>1869.28</v>
      </c>
      <c r="F14" s="15">
        <f t="shared" si="0"/>
        <v>0.34460849689318729</v>
      </c>
    </row>
    <row r="15" spans="1:18" x14ac:dyDescent="0.3">
      <c r="A15" t="s">
        <v>51</v>
      </c>
      <c r="B15" s="3">
        <f>IF('DATA SHEET'!B58&gt;0,'Profit and loss'!B14/'DATA SHEET'!B58," ")</f>
        <v>1830.7857142857142</v>
      </c>
      <c r="C15" s="3">
        <f>IF('DATA SHEET'!C58&gt;0,'Profit and loss'!C14/'DATA SHEET'!C58," ")</f>
        <v>4955.2857142857138</v>
      </c>
      <c r="D15" s="3">
        <f>IF('DATA SHEET'!D58&gt;0,'Profit and loss'!D14/'DATA SHEET'!D58," ")</f>
        <v>4450.666666666667</v>
      </c>
      <c r="F15" s="15">
        <f t="shared" si="0"/>
        <v>0.34460849689318729</v>
      </c>
    </row>
    <row r="16" spans="1:18" x14ac:dyDescent="0.3">
      <c r="A16" t="s">
        <v>52</v>
      </c>
      <c r="B16" s="3">
        <f>IF(B15&gt;0,B17/B15," ")</f>
        <v>45.907721118957511</v>
      </c>
      <c r="C16" s="3">
        <f>IF(C15&gt;0,C17/C15," ")</f>
        <v>26.918185487358375</v>
      </c>
      <c r="D16" s="3">
        <f>IF(D15&gt;0,D17/D15," ")</f>
        <v>25.317049880167762</v>
      </c>
      <c r="F16" s="15">
        <f t="shared" si="0"/>
        <v>-0.17994599460188765</v>
      </c>
    </row>
    <row r="17" spans="1:6" x14ac:dyDescent="0.3">
      <c r="A17" s="4" t="s">
        <v>89</v>
      </c>
      <c r="B17" s="3">
        <f>'DATA SHEET'!B55</f>
        <v>84047.2</v>
      </c>
      <c r="C17" s="3">
        <f>'DATA SHEET'!C55</f>
        <v>133387.29999999999</v>
      </c>
      <c r="D17" s="3">
        <f>'DATA SHEET'!D55</f>
        <v>112677.75</v>
      </c>
      <c r="F17" s="15">
        <f t="shared" si="0"/>
        <v>0.10265158356959359</v>
      </c>
    </row>
    <row r="18" spans="1:6" x14ac:dyDescent="0.3">
      <c r="A18" s="4"/>
      <c r="B18" s="3"/>
      <c r="C18" s="3"/>
      <c r="D18" s="3"/>
      <c r="F18" s="15" t="str">
        <f t="shared" si="0"/>
        <v/>
      </c>
    </row>
    <row r="19" spans="1:6" x14ac:dyDescent="0.3">
      <c r="A19" s="4"/>
      <c r="B19" s="3"/>
      <c r="C19" s="3"/>
      <c r="D19" s="3"/>
      <c r="F19" s="15" t="str">
        <f t="shared" si="0"/>
        <v/>
      </c>
    </row>
    <row r="20" spans="1:6" x14ac:dyDescent="0.3">
      <c r="A20" s="4" t="s">
        <v>86</v>
      </c>
      <c r="B20" s="3">
        <f>B17*'DATA SHEET'!B58</f>
        <v>35299.824000000001</v>
      </c>
      <c r="C20" s="3">
        <f>C17*'DATA SHEET'!C58</f>
        <v>56022.66599999999</v>
      </c>
      <c r="D20" s="3">
        <f>D17*'DATA SHEET'!D58</f>
        <v>47324.654999999999</v>
      </c>
      <c r="F20" s="15">
        <f>IF(B20&gt;0,(D20/B20)^(1/$A$3)-1,"")</f>
        <v>0.10265158356959359</v>
      </c>
    </row>
    <row r="21" spans="1:6" x14ac:dyDescent="0.3">
      <c r="A21" s="4" t="s">
        <v>87</v>
      </c>
      <c r="B21" s="3"/>
      <c r="C21" s="3"/>
      <c r="D21" s="3"/>
    </row>
    <row r="23" spans="1:6" x14ac:dyDescent="0.3">
      <c r="A23" s="4" t="s">
        <v>53</v>
      </c>
    </row>
    <row r="24" spans="1:6" x14ac:dyDescent="0.3">
      <c r="A24" t="s">
        <v>54</v>
      </c>
      <c r="B24" s="15">
        <f>IF('DATA SHEET'!B23&gt;0,'DATA SHEET'!B24/'DATA SHEET'!B23," ")</f>
        <v>9.6497730612669558E-2</v>
      </c>
      <c r="C24" s="15">
        <f>IF('DATA SHEET'!C23&gt;0,'DATA SHEET'!C24/'DATA SHEET'!C23," ")</f>
        <v>4.0745332064846582E-2</v>
      </c>
      <c r="D24" s="15">
        <f>IF('DATA SHEET'!D23&gt;0,'DATA SHEET'!D24/'DATA SHEET'!D23," ")</f>
        <v>5.33039459043054E-2</v>
      </c>
    </row>
    <row r="25" spans="1:6" x14ac:dyDescent="0.3">
      <c r="A25" t="s">
        <v>55</v>
      </c>
      <c r="B25" s="15">
        <f>IF(B7&gt;0,B7/B5," ")</f>
        <v>0.10449215566709948</v>
      </c>
      <c r="C25" s="15">
        <f>IF(C7&gt;0,C7/C5," ")</f>
        <v>0.16974475867475217</v>
      </c>
      <c r="D25" s="15">
        <f>IF(D7&gt;0,D7/D5," ")</f>
        <v>0.14544534233194203</v>
      </c>
    </row>
    <row r="26" spans="1:6" x14ac:dyDescent="0.3">
      <c r="A26" t="s">
        <v>56</v>
      </c>
    </row>
    <row r="29" spans="1:6" x14ac:dyDescent="0.3">
      <c r="A29" s="7" t="s">
        <v>9</v>
      </c>
      <c r="B29">
        <f>'DATA SHEET'!B9</f>
        <v>23008.33</v>
      </c>
      <c r="C29">
        <f>'DATA SHEET'!C9</f>
        <v>25168.73</v>
      </c>
      <c r="D29">
        <f>'DATA SHEET'!D9</f>
        <v>28152.5</v>
      </c>
    </row>
    <row r="30" spans="1:6" x14ac:dyDescent="0.3">
      <c r="A30" s="2" t="s">
        <v>10</v>
      </c>
      <c r="B30">
        <f>'DATA SHEET'!B10</f>
        <v>15786.49</v>
      </c>
      <c r="C30">
        <f>'DATA SHEET'!C10</f>
        <v>15265.35</v>
      </c>
      <c r="D30">
        <f>'DATA SHEET'!D10</f>
        <v>18516.43</v>
      </c>
    </row>
    <row r="31" spans="1:6" x14ac:dyDescent="0.3">
      <c r="A31" s="22" t="s">
        <v>83</v>
      </c>
      <c r="B31" s="20">
        <f>B29-B30</f>
        <v>7221.840000000002</v>
      </c>
      <c r="C31" s="20">
        <f>C29-C30</f>
        <v>9903.3799999999992</v>
      </c>
      <c r="D31" s="20">
        <f>D29-D30</f>
        <v>9636.07</v>
      </c>
    </row>
    <row r="32" spans="1:6" x14ac:dyDescent="0.3">
      <c r="A32" s="7"/>
    </row>
    <row r="34" spans="1:5" s="12" customFormat="1" x14ac:dyDescent="0.3">
      <c r="B34" s="9" t="s">
        <v>57</v>
      </c>
      <c r="C34" s="9"/>
      <c r="D34" s="9"/>
      <c r="E34" s="9"/>
    </row>
    <row r="35" spans="1:5" x14ac:dyDescent="0.3">
      <c r="A35" t="s">
        <v>58</v>
      </c>
      <c r="B35" s="14"/>
      <c r="C35" s="14"/>
    </row>
    <row r="36" spans="1:5" x14ac:dyDescent="0.3">
      <c r="A36" t="s">
        <v>55</v>
      </c>
      <c r="B36" s="15">
        <f>IF(SUM(B5:D5)=0,"",SUMPRODUCT(B25:D25,B5:D5)/SUM(B5:D5))</f>
        <v>0.14111308908370476</v>
      </c>
    </row>
    <row r="37" spans="1:5" x14ac:dyDescent="0.3">
      <c r="A37" t="s">
        <v>59</v>
      </c>
      <c r="B37" s="3">
        <f>AVERAGEIF(B16:D16,"&gt;0")</f>
        <v>32.714318828827878</v>
      </c>
    </row>
  </sheetData>
  <mergeCells count="1">
    <mergeCell ref="B1:R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005F-D9E4-495E-94F9-331EDD68561F}">
  <dimension ref="A1:R27"/>
  <sheetViews>
    <sheetView workbookViewId="0">
      <pane xSplit="1" ySplit="4" topLeftCell="B9" activePane="bottomRight" state="frozen"/>
      <selection pane="topRight" activeCell="B1" sqref="B1"/>
      <selection pane="bottomLeft" activeCell="A4" sqref="A4"/>
      <selection pane="bottomRight" activeCell="B27" sqref="B27"/>
    </sheetView>
  </sheetViews>
  <sheetFormatPr defaultRowHeight="14.4" x14ac:dyDescent="0.3"/>
  <cols>
    <col min="1" max="1" width="31.6640625" bestFit="1" customWidth="1"/>
    <col min="2" max="2" width="12.6640625" bestFit="1" customWidth="1"/>
  </cols>
  <sheetData>
    <row r="1" spans="1:18" ht="14.4" customHeight="1" x14ac:dyDescent="0.3">
      <c r="A1" s="4" t="str">
        <f>'Profit and loss'!A1</f>
        <v>MRF LTD</v>
      </c>
      <c r="B1" s="108" t="s">
        <v>74</v>
      </c>
      <c r="C1" s="108"/>
      <c r="D1" s="108"/>
      <c r="E1" s="108"/>
      <c r="F1" s="108"/>
      <c r="G1" s="108"/>
      <c r="H1" s="108"/>
      <c r="I1" s="108"/>
      <c r="J1" s="108"/>
      <c r="K1" s="108"/>
      <c r="L1" s="108"/>
      <c r="M1" s="108"/>
      <c r="N1" s="108"/>
      <c r="O1" s="108"/>
      <c r="P1" s="108"/>
      <c r="Q1" s="108"/>
      <c r="R1" s="108"/>
    </row>
    <row r="2" spans="1:18" ht="14.4" customHeight="1" x14ac:dyDescent="0.3">
      <c r="A2" s="4"/>
      <c r="B2" s="108"/>
      <c r="C2" s="108"/>
      <c r="D2" s="108"/>
      <c r="E2" s="108"/>
      <c r="F2" s="108"/>
      <c r="G2" s="108"/>
      <c r="H2" s="108"/>
      <c r="I2" s="108"/>
      <c r="J2" s="108"/>
      <c r="K2" s="108"/>
      <c r="L2" s="108"/>
      <c r="M2" s="108"/>
      <c r="N2" s="108"/>
      <c r="O2" s="108"/>
      <c r="P2" s="108"/>
      <c r="Q2" s="108"/>
      <c r="R2" s="108"/>
    </row>
    <row r="4" spans="1:18" x14ac:dyDescent="0.3">
      <c r="A4" s="16" t="s">
        <v>50</v>
      </c>
      <c r="B4" s="6">
        <f>'DATA SHEET'!B8</f>
        <v>45016</v>
      </c>
      <c r="C4" s="6">
        <f>'DATA SHEET'!C8</f>
        <v>45382</v>
      </c>
      <c r="D4" s="6">
        <f>'DATA SHEET'!D8</f>
        <v>45747</v>
      </c>
      <c r="E4" s="6"/>
      <c r="F4" s="6" t="s">
        <v>81</v>
      </c>
      <c r="G4" s="6"/>
      <c r="H4" s="6"/>
    </row>
    <row r="5" spans="1:18" x14ac:dyDescent="0.3">
      <c r="A5" t="s">
        <v>27</v>
      </c>
      <c r="B5">
        <f>'DATA SHEET'!B29</f>
        <v>4.24</v>
      </c>
      <c r="C5">
        <f>'DATA SHEET'!C29</f>
        <v>4.24</v>
      </c>
      <c r="D5">
        <f>'DATA SHEET'!D29</f>
        <v>4.24</v>
      </c>
      <c r="F5" s="15">
        <f>IF(B5&gt;0,(D5/B5)^(1/'Profit and loss'!$A$3)-1,"")</f>
        <v>0</v>
      </c>
    </row>
    <row r="6" spans="1:18" x14ac:dyDescent="0.3">
      <c r="A6" t="s">
        <v>28</v>
      </c>
      <c r="B6">
        <f>'DATA SHEET'!B30</f>
        <v>14703.42</v>
      </c>
      <c r="C6">
        <f>'DATA SHEET'!C30</f>
        <v>16698.75</v>
      </c>
      <c r="D6">
        <f>'DATA SHEET'!D30</f>
        <v>18484.22</v>
      </c>
      <c r="F6" s="15">
        <f>IF(B6&gt;0,(D6/B6)^(1/'Profit and loss'!$A$3)-1,"")</f>
        <v>7.9263745766696259E-2</v>
      </c>
    </row>
    <row r="7" spans="1:18" x14ac:dyDescent="0.3">
      <c r="A7" t="s">
        <v>29</v>
      </c>
      <c r="B7">
        <f>'DATA SHEET'!B31</f>
        <v>3013.61</v>
      </c>
      <c r="C7">
        <f>'DATA SHEET'!C31</f>
        <v>2821.5</v>
      </c>
      <c r="D7">
        <f>'DATA SHEET'!D31</f>
        <v>3771.16</v>
      </c>
      <c r="F7" s="15">
        <f>IF(B7&gt;0,(D7/B7)^(1/'Profit and loss'!$A$3)-1,"")</f>
        <v>7.7612540613294811E-2</v>
      </c>
    </row>
    <row r="8" spans="1:18" x14ac:dyDescent="0.3">
      <c r="A8" t="s">
        <v>30</v>
      </c>
      <c r="B8">
        <f>'DATA SHEET'!B32</f>
        <v>6648.14</v>
      </c>
      <c r="C8">
        <f>'DATA SHEET'!C32</f>
        <v>7324.94</v>
      </c>
      <c r="D8">
        <f>'DATA SHEET'!D32</f>
        <v>7307.37</v>
      </c>
      <c r="F8" s="15">
        <f>IF(B8&gt;0,(D8/B8)^(1/'Profit and loss'!$A$3)-1,"")</f>
        <v>3.2017306932542455E-2</v>
      </c>
    </row>
    <row r="9" spans="1:18" x14ac:dyDescent="0.3">
      <c r="A9" s="4" t="s">
        <v>31</v>
      </c>
      <c r="B9" s="4">
        <f>'DATA SHEET'!B33</f>
        <v>24369.41</v>
      </c>
      <c r="C9" s="4">
        <f>'DATA SHEET'!C33</f>
        <v>26849.43</v>
      </c>
      <c r="D9" s="4">
        <f>'DATA SHEET'!D33</f>
        <v>29566.99</v>
      </c>
      <c r="F9" s="15">
        <f>IF(B9&gt;0,(D9/B9)^(1/'Profit and loss'!$A$3)-1,"")</f>
        <v>6.656509485008022E-2</v>
      </c>
    </row>
    <row r="10" spans="1:18" x14ac:dyDescent="0.3">
      <c r="A10" s="4"/>
      <c r="F10" s="15" t="str">
        <f>IF(B10&gt;0,(D10/B10)^(1/'Profit and loss'!$A$3)-1,"")</f>
        <v/>
      </c>
    </row>
    <row r="11" spans="1:18" x14ac:dyDescent="0.3">
      <c r="A11" t="s">
        <v>32</v>
      </c>
      <c r="B11">
        <f>'DATA SHEET'!B34</f>
        <v>10117.969999999999</v>
      </c>
      <c r="C11">
        <f>'DATA SHEET'!C34</f>
        <v>12046.22</v>
      </c>
      <c r="D11">
        <f>'DATA SHEET'!D34</f>
        <v>13220.78</v>
      </c>
      <c r="F11" s="15">
        <f>IF(B11&gt;0,(D11/B11)^(1/'Profit and loss'!$A$3)-1,"")</f>
        <v>9.3254391014900628E-2</v>
      </c>
    </row>
    <row r="12" spans="1:18" x14ac:dyDescent="0.3">
      <c r="A12" t="s">
        <v>33</v>
      </c>
      <c r="B12">
        <f>'DATA SHEET'!B35</f>
        <v>3045.86</v>
      </c>
      <c r="C12">
        <f>'DATA SHEET'!C35</f>
        <v>2384.5300000000002</v>
      </c>
      <c r="D12">
        <f>'DATA SHEET'!D35</f>
        <v>1168.6300000000001</v>
      </c>
      <c r="F12" s="15">
        <f>IF(B12&gt;0,(D12/B12)^(1/'Profit and loss'!$A$3)-1,"")</f>
        <v>-0.27335487464660146</v>
      </c>
    </row>
    <row r="13" spans="1:18" x14ac:dyDescent="0.3">
      <c r="A13" t="s">
        <v>34</v>
      </c>
      <c r="B13">
        <f>'DATA SHEET'!B36</f>
        <v>3085.11</v>
      </c>
      <c r="C13">
        <f>'DATA SHEET'!C36</f>
        <v>3382.97</v>
      </c>
      <c r="D13">
        <f>'DATA SHEET'!D36</f>
        <v>4548.24</v>
      </c>
      <c r="F13" s="15">
        <f>IF(B13&gt;0,(D13/B13)^(1/'Profit and loss'!$A$3)-1,"")</f>
        <v>0.13812747251160551</v>
      </c>
    </row>
    <row r="14" spans="1:18" x14ac:dyDescent="0.3">
      <c r="A14" t="s">
        <v>35</v>
      </c>
      <c r="B14">
        <f>'DATA SHEET'!B37</f>
        <v>8120.47</v>
      </c>
      <c r="C14">
        <f>'DATA SHEET'!C37</f>
        <v>9035.7099999999991</v>
      </c>
      <c r="D14">
        <f>'DATA SHEET'!D37</f>
        <v>10629.34</v>
      </c>
      <c r="F14" s="15">
        <f>IF(B14&gt;0,(D14/B14)^(1/'Profit and loss'!$A$3)-1,"")</f>
        <v>9.3893506371658164E-2</v>
      </c>
    </row>
    <row r="15" spans="1:18" x14ac:dyDescent="0.3">
      <c r="A15" s="4" t="s">
        <v>31</v>
      </c>
      <c r="B15" s="4">
        <f>'DATA SHEET'!B38</f>
        <v>24369.41</v>
      </c>
      <c r="C15" s="4">
        <f>'DATA SHEET'!C38</f>
        <v>26849.43</v>
      </c>
      <c r="D15" s="4">
        <f>'DATA SHEET'!D38</f>
        <v>29566.99</v>
      </c>
      <c r="F15" s="15">
        <f>IF(B15&gt;0,(D15/B15)^(1/'Profit and loss'!$A$3)-1,"")</f>
        <v>6.656509485008022E-2</v>
      </c>
    </row>
    <row r="16" spans="1:18" x14ac:dyDescent="0.3">
      <c r="F16" s="15" t="str">
        <f>IF(B16&gt;0,(D16/B16)^(1/'Profit and loss'!$A$3)-1,"")</f>
        <v/>
      </c>
    </row>
    <row r="17" spans="1:6" x14ac:dyDescent="0.3">
      <c r="A17" t="s">
        <v>60</v>
      </c>
      <c r="B17">
        <f>B14-B8</f>
        <v>1472.33</v>
      </c>
      <c r="C17">
        <f>C14-C8</f>
        <v>1710.7699999999995</v>
      </c>
      <c r="D17">
        <f>D14-D8</f>
        <v>3321.9700000000003</v>
      </c>
      <c r="F17" s="15">
        <f>IF(B17&gt;0,(D17/B17)^(1/'Profit and loss'!$A$3)-1,"")</f>
        <v>0.31158622937281999</v>
      </c>
    </row>
    <row r="18" spans="1:6" x14ac:dyDescent="0.3">
      <c r="A18" t="s">
        <v>61</v>
      </c>
      <c r="B18">
        <f>'DATA SHEET'!B39</f>
        <v>2503.27</v>
      </c>
      <c r="C18">
        <f>'DATA SHEET'!C39</f>
        <v>2911.96</v>
      </c>
      <c r="D18">
        <f>'DATA SHEET'!D39</f>
        <v>3370.25</v>
      </c>
      <c r="F18" s="15">
        <f>IF(B18&gt;0,(D18/B18)^(1/'Profit and loss'!$A$3)-1,"")</f>
        <v>0.10420948725290091</v>
      </c>
    </row>
    <row r="19" spans="1:6" x14ac:dyDescent="0.3">
      <c r="A19" t="s">
        <v>37</v>
      </c>
      <c r="B19">
        <f>'DATA SHEET'!B40</f>
        <v>4141.05</v>
      </c>
      <c r="C19">
        <f>'DATA SHEET'!C40</f>
        <v>4468.58</v>
      </c>
      <c r="D19">
        <f>'DATA SHEET'!D40</f>
        <v>5624.78</v>
      </c>
      <c r="F19" s="15">
        <f>IF(B19&gt;0,(D19/B19)^(1/'Profit and loss'!$A$3)-1,"")</f>
        <v>0.10746928152662005</v>
      </c>
    </row>
    <row r="21" spans="1:6" x14ac:dyDescent="0.3">
      <c r="A21" t="s">
        <v>62</v>
      </c>
      <c r="B21" s="3">
        <f>IF('Profit and loss'!B5&gt;0,'Balance Sheet'!B18/('Profit and loss'!B5/365),0)</f>
        <v>39.711424079887585</v>
      </c>
      <c r="C21" s="3">
        <f>IF('Profit and loss'!C5&gt;0,'Balance Sheet'!C18/('Profit and loss'!C5/365),0)</f>
        <v>42.229599983789406</v>
      </c>
      <c r="D21" s="3">
        <f>IF('Profit and loss'!D5&gt;0,'Balance Sheet'!D18/('Profit and loss'!D5/365),0)</f>
        <v>43.695630938637777</v>
      </c>
    </row>
    <row r="22" spans="1:6" x14ac:dyDescent="0.3">
      <c r="A22" t="s">
        <v>63</v>
      </c>
      <c r="B22" s="3">
        <f>IF(B19&gt;0,'Profit and loss'!B5/'Balance Sheet'!B19,0)</f>
        <v>5.5561584622257643</v>
      </c>
      <c r="C22" s="3">
        <f>IF(C19&gt;0,'Profit and loss'!C5/'Balance Sheet'!C19,0)</f>
        <v>5.6323776233165797</v>
      </c>
      <c r="D22" s="3">
        <f>IF(D19&gt;0,'Profit and loss'!D5/'Balance Sheet'!D19,0)</f>
        <v>5.0050846433104939</v>
      </c>
    </row>
    <row r="24" spans="1:6" x14ac:dyDescent="0.3">
      <c r="A24" s="4" t="s">
        <v>64</v>
      </c>
      <c r="B24" s="17">
        <f>IF(SUM(B5:B6)&gt;0,'Profit and loss'!B14/SUM('Balance Sheet'!B5:B6))</f>
        <v>5.2280920282356265E-2</v>
      </c>
      <c r="C24" s="17">
        <f>IF(SUM(C5:C6)&gt;0,'Profit and loss'!C14/SUM('Balance Sheet'!C5:C6))</f>
        <v>0.12460164317885598</v>
      </c>
      <c r="D24" s="17">
        <f>IF(SUM(D5:D6)&gt;0,'Profit and loss'!D14/SUM('Balance Sheet'!D5:D6))</f>
        <v>0.10110522996507008</v>
      </c>
    </row>
    <row r="25" spans="1:6" x14ac:dyDescent="0.3">
      <c r="A25" s="4" t="s">
        <v>65</v>
      </c>
      <c r="B25" s="17">
        <f>IF(B15-SUM(B5:B7)&gt;0,SUM('Profit and loss'!B11:B12)/(B15-SUM(B5:B7)))</f>
        <v>0.21000911533150629</v>
      </c>
      <c r="C25" s="17">
        <f>IF(C15-SUM(C5:C7)&gt;0,SUM('Profit and loss'!C11:C12)/(C15-SUM(C5:C7)))</f>
        <v>0.42982604635669375</v>
      </c>
      <c r="D25" s="17">
        <f>IF(D15-SUM(D5:D7)&gt;0,SUM('Profit and loss'!D11:D12)/(D15-SUM(D5:D7)))</f>
        <v>0.38957518231593591</v>
      </c>
    </row>
    <row r="26" spans="1:6" x14ac:dyDescent="0.3">
      <c r="A26" t="s">
        <v>66</v>
      </c>
    </row>
    <row r="27" spans="1:6" x14ac:dyDescent="0.3">
      <c r="A27" s="4" t="s">
        <v>84</v>
      </c>
      <c r="B27" s="23">
        <f>IF(B15&gt;0,'Profit and loss'!B14/'Balance Sheet'!B15,"")</f>
        <v>3.1553082327393234E-2</v>
      </c>
      <c r="C27" s="17">
        <f>IF(AVERAGE(B15,C15)&gt;0,'Profit and loss'!C14/AVERAGE(B15,C15))</f>
        <v>8.1267752256786757E-2</v>
      </c>
      <c r="D27" s="17">
        <f>IF(AVERAGE(C15,D15)&gt;0,'Profit and loss'!D14/AVERAGE(C15,D15))</f>
        <v>6.6267232128518608E-2</v>
      </c>
    </row>
  </sheetData>
  <mergeCells count="1">
    <mergeCell ref="B1:R2"/>
  </mergeCells>
  <dataValidations count="1">
    <dataValidation type="date" operator="greaterThan" allowBlank="1" showInputMessage="1" showErrorMessage="1" sqref="H15" xr:uid="{55276B72-DC35-4552-8ED0-7C3D84364A10}">
      <formula1>44986</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FE17-B4B9-4F7B-8334-4F77EF26F9A2}">
  <dimension ref="A1:R68"/>
  <sheetViews>
    <sheetView workbookViewId="0">
      <pane xSplit="1" ySplit="4" topLeftCell="B5" activePane="bottomRight" state="frozen"/>
      <selection pane="topRight" activeCell="B1" sqref="B1"/>
      <selection pane="bottomLeft" activeCell="A5" sqref="A5"/>
      <selection pane="bottomRight" activeCell="AD40" sqref="AD40"/>
    </sheetView>
  </sheetViews>
  <sheetFormatPr defaultRowHeight="14.4" x14ac:dyDescent="0.3"/>
  <cols>
    <col min="1" max="1" width="30.33203125" customWidth="1"/>
    <col min="2" max="2" width="12.5546875" bestFit="1" customWidth="1"/>
    <col min="3" max="3" width="17.33203125" bestFit="1" customWidth="1"/>
    <col min="4" max="4" width="15.6640625" bestFit="1" customWidth="1"/>
    <col min="5" max="5" width="21.109375" bestFit="1" customWidth="1"/>
    <col min="6" max="6" width="12" bestFit="1" customWidth="1"/>
    <col min="7" max="7" width="10.77734375" bestFit="1" customWidth="1"/>
    <col min="8" max="11" width="12" bestFit="1" customWidth="1"/>
    <col min="12" max="12" width="19.6640625" bestFit="1" customWidth="1"/>
    <col min="13" max="13" width="12" bestFit="1" customWidth="1"/>
    <col min="14" max="14" width="7" bestFit="1" customWidth="1"/>
    <col min="15" max="15" width="12.109375" bestFit="1" customWidth="1"/>
    <col min="16" max="16" width="13.109375" bestFit="1" customWidth="1"/>
    <col min="17" max="17" width="17.21875" bestFit="1" customWidth="1"/>
    <col min="18" max="18" width="12" bestFit="1" customWidth="1"/>
    <col min="19" max="19" width="17.33203125" bestFit="1" customWidth="1"/>
    <col min="20" max="20" width="20.109375" bestFit="1" customWidth="1"/>
    <col min="21" max="21" width="12.77734375" bestFit="1" customWidth="1"/>
    <col min="22" max="22" width="20.77734375" bestFit="1" customWidth="1"/>
    <col min="23" max="23" width="9.109375" bestFit="1" customWidth="1"/>
    <col min="24" max="24" width="15.6640625" bestFit="1" customWidth="1"/>
    <col min="25" max="25" width="21.109375" bestFit="1" customWidth="1"/>
    <col min="26" max="27" width="12" bestFit="1" customWidth="1"/>
    <col min="28" max="28" width="9" bestFit="1" customWidth="1"/>
    <col min="29" max="30" width="12" bestFit="1" customWidth="1"/>
    <col min="31" max="31" width="19.6640625" bestFit="1" customWidth="1"/>
    <col min="32" max="32" width="12" bestFit="1" customWidth="1"/>
  </cols>
  <sheetData>
    <row r="1" spans="1:18" x14ac:dyDescent="0.3">
      <c r="A1" s="4" t="str">
        <f>'Balance Sheet'!A1</f>
        <v>MRF LTD</v>
      </c>
      <c r="B1" s="108" t="s">
        <v>142</v>
      </c>
      <c r="C1" s="109"/>
      <c r="D1" s="109"/>
      <c r="E1" s="109"/>
      <c r="F1" s="109"/>
      <c r="G1" s="109"/>
      <c r="H1" s="109"/>
      <c r="I1" s="109"/>
      <c r="J1" s="109"/>
      <c r="K1" s="109"/>
      <c r="L1" s="109"/>
      <c r="M1" s="109"/>
      <c r="N1" s="109"/>
      <c r="O1" s="109"/>
      <c r="P1" s="109"/>
      <c r="Q1" s="109"/>
      <c r="R1" s="109"/>
    </row>
    <row r="2" spans="1:18" x14ac:dyDescent="0.3">
      <c r="A2" s="4"/>
      <c r="B2" s="109"/>
      <c r="C2" s="109"/>
      <c r="D2" s="109"/>
      <c r="E2" s="109"/>
      <c r="F2" s="109"/>
      <c r="G2" s="109"/>
      <c r="H2" s="109"/>
      <c r="I2" s="109"/>
      <c r="J2" s="109"/>
      <c r="K2" s="109"/>
      <c r="L2" s="109"/>
      <c r="M2" s="109"/>
      <c r="N2" s="109"/>
      <c r="O2" s="109"/>
      <c r="P2" s="109"/>
      <c r="Q2" s="109"/>
      <c r="R2" s="109"/>
    </row>
    <row r="4" spans="1:18" s="16" customFormat="1" x14ac:dyDescent="0.3">
      <c r="A4" s="16" t="s">
        <v>50</v>
      </c>
      <c r="B4" s="105">
        <f>'DATA SHEET'!B48</f>
        <v>45016</v>
      </c>
      <c r="C4" s="105">
        <f>'DATA SHEET'!C48</f>
        <v>45382</v>
      </c>
      <c r="D4" s="105">
        <f>'DATA SHEET'!D48</f>
        <v>45747</v>
      </c>
    </row>
    <row r="5" spans="1:18" x14ac:dyDescent="0.3">
      <c r="A5" t="str">
        <f>PROPER('DATA SHEET'!A49)</f>
        <v>Cash From Operating Activity</v>
      </c>
      <c r="B5">
        <f>'DATA SHEET'!B49</f>
        <v>2755.47</v>
      </c>
      <c r="C5">
        <f>'DATA SHEET'!C49</f>
        <v>3303.36</v>
      </c>
      <c r="D5">
        <f>'DATA SHEET'!D49</f>
        <v>1867.8</v>
      </c>
    </row>
    <row r="6" spans="1:18" x14ac:dyDescent="0.3">
      <c r="A6" t="str">
        <f>PROPER('DATA SHEET'!A50)</f>
        <v>Cash From Investing Activity</v>
      </c>
      <c r="B6">
        <f>'DATA SHEET'!B50</f>
        <v>-1921.81</v>
      </c>
      <c r="C6">
        <f>'DATA SHEET'!C50</f>
        <v>-2380.58</v>
      </c>
      <c r="D6">
        <f>'DATA SHEET'!D50</f>
        <v>-2082.23</v>
      </c>
    </row>
    <row r="7" spans="1:18" x14ac:dyDescent="0.3">
      <c r="A7" t="str">
        <f>PROPER('DATA SHEET'!A51)</f>
        <v>Cash From Financing Activity</v>
      </c>
      <c r="B7">
        <f>'DATA SHEET'!B51</f>
        <v>-839.54</v>
      </c>
      <c r="C7">
        <f>'DATA SHEET'!C51</f>
        <v>-868.22</v>
      </c>
      <c r="D7">
        <f>'DATA SHEET'!D51</f>
        <v>282</v>
      </c>
    </row>
    <row r="8" spans="1:18" x14ac:dyDescent="0.3">
      <c r="A8" s="4" t="str">
        <f>PROPER('DATA SHEET'!A52)</f>
        <v>Net Cash Flow</v>
      </c>
      <c r="B8" s="4">
        <f>'DATA SHEET'!B52</f>
        <v>-5.88</v>
      </c>
      <c r="C8" s="4">
        <f>'DATA SHEET'!C52</f>
        <v>54.56</v>
      </c>
      <c r="D8" s="4">
        <f>'DATA SHEET'!D52</f>
        <v>67.569999999999993</v>
      </c>
    </row>
    <row r="12" spans="1:18" x14ac:dyDescent="0.3">
      <c r="A12" s="83"/>
      <c r="B12" s="84"/>
    </row>
    <row r="27" spans="2:3" x14ac:dyDescent="0.3">
      <c r="B27" s="110" t="s">
        <v>155</v>
      </c>
      <c r="C27" s="110"/>
    </row>
    <row r="28" spans="2:3" x14ac:dyDescent="0.3">
      <c r="B28" s="24" t="str" cm="1">
        <f t="array" ref="B28:C32">TRANSPOSE(Analysis!F14:J15)</f>
        <v>Year</v>
      </c>
      <c r="C28" s="82">
        <v>45747</v>
      </c>
    </row>
    <row r="29" spans="2:3" x14ac:dyDescent="0.3">
      <c r="B29" s="24" t="str">
        <v>CFO</v>
      </c>
      <c r="C29" s="18">
        <v>1867.8</v>
      </c>
    </row>
    <row r="30" spans="2:3" x14ac:dyDescent="0.3">
      <c r="B30" s="24" t="str">
        <v>CFI</v>
      </c>
      <c r="C30" s="18">
        <v>-2082.23</v>
      </c>
    </row>
    <row r="31" spans="2:3" x14ac:dyDescent="0.3">
      <c r="B31" s="24" t="str">
        <v>CFF</v>
      </c>
      <c r="C31" s="18">
        <v>282</v>
      </c>
    </row>
    <row r="32" spans="2:3" x14ac:dyDescent="0.3">
      <c r="B32" s="24" t="str">
        <v>Net CF</v>
      </c>
      <c r="C32" s="18">
        <v>67.569999999999993</v>
      </c>
    </row>
    <row r="35" spans="2:5" x14ac:dyDescent="0.3">
      <c r="B35" s="87" t="s">
        <v>161</v>
      </c>
      <c r="C35" s="87" t="s">
        <v>162</v>
      </c>
    </row>
    <row r="36" spans="2:5" x14ac:dyDescent="0.3">
      <c r="B36" s="87" t="s">
        <v>156</v>
      </c>
      <c r="C36" t="s">
        <v>22</v>
      </c>
      <c r="D36" t="s">
        <v>70</v>
      </c>
      <c r="E36" t="s">
        <v>157</v>
      </c>
    </row>
    <row r="37" spans="2:5" x14ac:dyDescent="0.3">
      <c r="B37" s="88" t="s">
        <v>160</v>
      </c>
      <c r="C37" s="118">
        <v>1869.28</v>
      </c>
      <c r="D37" s="118">
        <v>28152.5</v>
      </c>
      <c r="E37" s="118">
        <v>30021.78</v>
      </c>
    </row>
    <row r="38" spans="2:5" x14ac:dyDescent="0.3">
      <c r="B38" s="88" t="s">
        <v>157</v>
      </c>
      <c r="C38" s="118">
        <v>1869.28</v>
      </c>
      <c r="D38" s="118">
        <v>28152.5</v>
      </c>
      <c r="E38" s="118">
        <v>30021.78</v>
      </c>
    </row>
    <row r="42" spans="2:5" x14ac:dyDescent="0.3">
      <c r="B42" s="87" t="s">
        <v>161</v>
      </c>
      <c r="C42" s="87" t="s">
        <v>162</v>
      </c>
    </row>
    <row r="43" spans="2:5" x14ac:dyDescent="0.3">
      <c r="B43" s="87" t="s">
        <v>163</v>
      </c>
      <c r="C43" t="s">
        <v>78</v>
      </c>
      <c r="D43" t="s">
        <v>79</v>
      </c>
      <c r="E43" t="s">
        <v>157</v>
      </c>
    </row>
    <row r="44" spans="2:5" x14ac:dyDescent="0.3">
      <c r="B44" s="88" t="s">
        <v>160</v>
      </c>
      <c r="C44" s="92">
        <v>6.6398366042092177E-2</v>
      </c>
      <c r="D44" s="92">
        <v>0.10110522996507008</v>
      </c>
      <c r="E44" s="118">
        <v>0.16750359600716225</v>
      </c>
    </row>
    <row r="45" spans="2:5" x14ac:dyDescent="0.3">
      <c r="B45" s="88" t="s">
        <v>157</v>
      </c>
      <c r="C45" s="118">
        <v>6.6398366042092177E-2</v>
      </c>
      <c r="D45" s="118">
        <v>0.10110522996507008</v>
      </c>
      <c r="E45" s="118">
        <v>0.16750359600716225</v>
      </c>
    </row>
    <row r="49" spans="2:7" x14ac:dyDescent="0.3">
      <c r="B49" s="87" t="s">
        <v>161</v>
      </c>
      <c r="C49" s="87" t="s">
        <v>162</v>
      </c>
    </row>
    <row r="50" spans="2:7" x14ac:dyDescent="0.3">
      <c r="B50" s="87" t="s">
        <v>156</v>
      </c>
      <c r="C50" t="s">
        <v>151</v>
      </c>
      <c r="D50" t="s">
        <v>150</v>
      </c>
      <c r="E50" t="s">
        <v>149</v>
      </c>
      <c r="F50" t="s">
        <v>46</v>
      </c>
      <c r="G50" t="s">
        <v>157</v>
      </c>
    </row>
    <row r="51" spans="2:7" x14ac:dyDescent="0.3">
      <c r="B51" s="88" t="s">
        <v>160</v>
      </c>
      <c r="C51" s="118">
        <v>-2082.23</v>
      </c>
      <c r="D51" s="118">
        <v>282</v>
      </c>
      <c r="E51" s="118">
        <v>1867.8</v>
      </c>
      <c r="F51" s="118">
        <v>67.569999999999993</v>
      </c>
      <c r="G51" s="118">
        <v>135.13999999999993</v>
      </c>
    </row>
    <row r="52" spans="2:7" x14ac:dyDescent="0.3">
      <c r="B52" s="88" t="s">
        <v>157</v>
      </c>
      <c r="C52" s="118">
        <v>-2082.23</v>
      </c>
      <c r="D52" s="118">
        <v>282</v>
      </c>
      <c r="E52" s="118">
        <v>1867.8</v>
      </c>
      <c r="F52" s="118">
        <v>67.569999999999993</v>
      </c>
      <c r="G52" s="118">
        <v>135.13999999999993</v>
      </c>
    </row>
    <row r="57" spans="2:7" x14ac:dyDescent="0.3">
      <c r="B57" s="87" t="s">
        <v>161</v>
      </c>
      <c r="C57" s="87" t="s">
        <v>162</v>
      </c>
    </row>
    <row r="58" spans="2:7" x14ac:dyDescent="0.3">
      <c r="B58" s="87" t="s">
        <v>170</v>
      </c>
      <c r="C58" t="s">
        <v>160</v>
      </c>
      <c r="D58" t="s">
        <v>157</v>
      </c>
    </row>
    <row r="59" spans="2:7" x14ac:dyDescent="0.3">
      <c r="B59" s="88" t="s">
        <v>94</v>
      </c>
      <c r="C59" s="3">
        <v>2.7662490589348113E-2</v>
      </c>
      <c r="D59" s="3">
        <v>2.7662490589348113E-2</v>
      </c>
    </row>
    <row r="60" spans="2:7" x14ac:dyDescent="0.3">
      <c r="B60" s="88" t="s">
        <v>92</v>
      </c>
      <c r="C60" s="3">
        <v>1.4778612639967483</v>
      </c>
      <c r="D60" s="3">
        <v>1.4778612639967483</v>
      </c>
    </row>
    <row r="61" spans="2:7" x14ac:dyDescent="0.3">
      <c r="B61" s="88" t="s">
        <v>76</v>
      </c>
      <c r="C61" s="118">
        <v>0.34228114732261788</v>
      </c>
      <c r="D61" s="118">
        <v>0.34228114732261788</v>
      </c>
    </row>
    <row r="62" spans="2:7" x14ac:dyDescent="0.3">
      <c r="B62" s="88" t="s">
        <v>93</v>
      </c>
      <c r="C62" s="3">
        <v>0.81079451451255957</v>
      </c>
      <c r="D62" s="3">
        <v>0.81079451451255957</v>
      </c>
    </row>
    <row r="63" spans="2:7" x14ac:dyDescent="0.3">
      <c r="B63" s="88" t="s">
        <v>157</v>
      </c>
      <c r="C63" s="118">
        <v>2.6585994164212741</v>
      </c>
      <c r="D63" s="118">
        <v>2.6585994164212741</v>
      </c>
    </row>
    <row r="65" spans="2:6" x14ac:dyDescent="0.3">
      <c r="B65" s="87" t="s">
        <v>161</v>
      </c>
      <c r="C65" s="87" t="s">
        <v>162</v>
      </c>
    </row>
    <row r="66" spans="2:6" x14ac:dyDescent="0.3">
      <c r="B66" s="87" t="s">
        <v>156</v>
      </c>
      <c r="C66" t="s">
        <v>76</v>
      </c>
      <c r="D66" t="s">
        <v>78</v>
      </c>
      <c r="E66" t="s">
        <v>77</v>
      </c>
      <c r="F66" t="s">
        <v>157</v>
      </c>
    </row>
    <row r="67" spans="2:6" x14ac:dyDescent="0.3">
      <c r="B67" s="88" t="s">
        <v>160</v>
      </c>
      <c r="C67" s="92">
        <v>0.34228114732261788</v>
      </c>
      <c r="D67" s="92">
        <v>6.6398366042092177E-2</v>
      </c>
      <c r="E67" s="92">
        <v>0.14544534233194203</v>
      </c>
      <c r="F67" s="118">
        <v>0.55412485569665204</v>
      </c>
    </row>
    <row r="68" spans="2:6" x14ac:dyDescent="0.3">
      <c r="B68" s="88" t="s">
        <v>157</v>
      </c>
      <c r="C68" s="118">
        <v>0.34228114732261788</v>
      </c>
      <c r="D68" s="118">
        <v>6.6398366042092177E-2</v>
      </c>
      <c r="E68" s="118">
        <v>0.14544534233194203</v>
      </c>
      <c r="F68" s="118">
        <v>0.55412485569665204</v>
      </c>
    </row>
  </sheetData>
  <mergeCells count="2">
    <mergeCell ref="B1:R2"/>
    <mergeCell ref="B27:C27"/>
  </mergeCells>
  <dataValidations count="1">
    <dataValidation type="list" allowBlank="1" showInputMessage="1" showErrorMessage="1" sqref="B12" xr:uid="{DA8460F6-D335-4EB2-80DE-B7E6C77D1116}">
      <formula1>$B$4:$D$4</formula1>
    </dataValidation>
  </dataValidations>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CEE3-0278-486E-A14C-6C45F48F8255}">
  <dimension ref="A1:Q113"/>
  <sheetViews>
    <sheetView zoomScale="76" workbookViewId="0">
      <selection activeCell="P32" sqref="P32"/>
    </sheetView>
  </sheetViews>
  <sheetFormatPr defaultRowHeight="14.4" x14ac:dyDescent="0.3"/>
  <cols>
    <col min="1" max="1" width="21.109375" bestFit="1" customWidth="1"/>
    <col min="2" max="2" width="20.44140625" bestFit="1" customWidth="1"/>
    <col min="3" max="3" width="20.88671875" customWidth="1"/>
    <col min="4" max="4" width="17.21875" bestFit="1" customWidth="1"/>
    <col min="5" max="5" width="14.109375" customWidth="1"/>
    <col min="6" max="6" width="11.77734375" customWidth="1"/>
  </cols>
  <sheetData>
    <row r="1" spans="1:17" ht="14.4" customHeight="1" x14ac:dyDescent="0.6">
      <c r="A1" s="108" t="s">
        <v>141</v>
      </c>
      <c r="B1" s="108"/>
      <c r="C1" s="108"/>
      <c r="D1" s="108"/>
      <c r="E1" s="108"/>
      <c r="F1" s="108"/>
      <c r="G1" s="108"/>
      <c r="H1" s="108"/>
      <c r="I1" s="108"/>
      <c r="J1" s="108"/>
      <c r="K1" s="108"/>
      <c r="L1" s="90"/>
      <c r="M1" s="90"/>
      <c r="N1" s="90"/>
      <c r="O1" s="90"/>
      <c r="P1" s="90"/>
      <c r="Q1" s="90"/>
    </row>
    <row r="2" spans="1:17" ht="14.4" customHeight="1" x14ac:dyDescent="0.6">
      <c r="A2" s="108"/>
      <c r="B2" s="108"/>
      <c r="C2" s="108"/>
      <c r="D2" s="108"/>
      <c r="E2" s="108"/>
      <c r="F2" s="108"/>
      <c r="G2" s="108"/>
      <c r="H2" s="108"/>
      <c r="I2" s="108"/>
      <c r="J2" s="108"/>
      <c r="K2" s="108"/>
      <c r="L2" s="90"/>
      <c r="M2" s="90"/>
      <c r="N2" s="90"/>
      <c r="O2" s="90"/>
      <c r="P2" s="90"/>
      <c r="Q2" s="90"/>
    </row>
    <row r="5" spans="1:17" ht="25.8" x14ac:dyDescent="0.3">
      <c r="A5" s="114" t="s">
        <v>75</v>
      </c>
      <c r="B5" s="114"/>
      <c r="C5" s="114"/>
      <c r="E5" s="116" t="s">
        <v>81</v>
      </c>
      <c r="F5" s="116"/>
    </row>
    <row r="6" spans="1:17" x14ac:dyDescent="0.3">
      <c r="A6" s="66" t="s">
        <v>67</v>
      </c>
      <c r="B6" s="66" t="s">
        <v>68</v>
      </c>
      <c r="C6" s="66" t="s">
        <v>69</v>
      </c>
      <c r="E6" s="18" t="s">
        <v>70</v>
      </c>
      <c r="F6" s="70">
        <f>'Profit and loss'!F5</f>
        <v>6.9573472786885748E-2</v>
      </c>
    </row>
    <row r="7" spans="1:17" x14ac:dyDescent="0.3">
      <c r="A7" s="66" t="s">
        <v>70</v>
      </c>
      <c r="B7" s="25">
        <f>IF('Profit and loss'!B5&gt;0,('Profit and loss'!C5-'Profit and loss'!B5)/'Profit and loss'!B5,"")</f>
        <v>9.389642794587863E-2</v>
      </c>
      <c r="C7" s="25">
        <f>IF('Profit and loss'!C5&gt;0,('Profit and loss'!D5-'Profit and loss'!C5)/'Profit and loss'!C5,"")</f>
        <v>0.11855067776562427</v>
      </c>
      <c r="E7" s="18" t="s">
        <v>146</v>
      </c>
      <c r="F7" s="70">
        <f>'Profit and loss'!F9</f>
        <v>0.19318834728070833</v>
      </c>
    </row>
    <row r="8" spans="1:17" x14ac:dyDescent="0.3">
      <c r="A8" s="66" t="s">
        <v>82</v>
      </c>
      <c r="B8" s="68">
        <f>IF('Profit and loss'!B14&gt;0,('Profit and loss'!C14-'Profit and loss'!B14)/'Profit and loss'!B14,"")</f>
        <v>1.706644297920487</v>
      </c>
      <c r="C8" s="68">
        <f>IF('Profit and loss'!C14&gt;0,('Profit and loss'!D14-'Profit and loss'!C14)/'Profit and loss'!C14,"")</f>
        <v>-0.10183450091773087</v>
      </c>
      <c r="E8" s="18" t="s">
        <v>89</v>
      </c>
      <c r="F8" s="70">
        <f>'Profit and loss'!F17</f>
        <v>0.10265158356959359</v>
      </c>
    </row>
    <row r="9" spans="1:17" x14ac:dyDescent="0.3">
      <c r="A9" s="66" t="s">
        <v>71</v>
      </c>
      <c r="B9" s="68">
        <f>IF('Balance Sheet'!B15&gt;0,('Balance Sheet'!C15-'Balance Sheet'!B15)/'Balance Sheet'!B15,"")</f>
        <v>0.10176774899351279</v>
      </c>
      <c r="C9" s="68">
        <f>IF('Balance Sheet'!C15&gt;0,('Balance Sheet'!D15-'Balance Sheet'!C15)/'Balance Sheet'!C15,"")</f>
        <v>0.10121481163659718</v>
      </c>
      <c r="E9" s="18" t="s">
        <v>143</v>
      </c>
      <c r="F9" s="70">
        <f>'Profit and loss'!F14</f>
        <v>0.34460849689318729</v>
      </c>
    </row>
    <row r="10" spans="1:17" x14ac:dyDescent="0.3">
      <c r="A10" s="66" t="s">
        <v>72</v>
      </c>
      <c r="B10" s="68">
        <f>IF('Profit and loss'!B20&gt;0,('Profit and loss'!C20-'Profit and loss'!B20)/'Profit and loss'!B20,"")</f>
        <v>0.587052275388115</v>
      </c>
      <c r="C10" s="68">
        <f>IF('Profit and loss'!C20&gt;0,('Profit and loss'!D20-'Profit and loss'!C20)/'Profit and loss'!C20,"")</f>
        <v>-0.15525878400717297</v>
      </c>
      <c r="E10" s="18" t="s">
        <v>88</v>
      </c>
      <c r="F10" s="70">
        <f>'Profit and loss'!F20</f>
        <v>0.10265158356959359</v>
      </c>
    </row>
    <row r="13" spans="1:17" ht="23.4" x14ac:dyDescent="0.3">
      <c r="A13" s="115" t="s">
        <v>140</v>
      </c>
      <c r="B13" s="115"/>
      <c r="C13" s="115"/>
      <c r="D13" s="115"/>
    </row>
    <row r="14" spans="1:17" x14ac:dyDescent="0.3">
      <c r="A14" s="4" t="s">
        <v>148</v>
      </c>
      <c r="B14" s="74">
        <f>A47</f>
        <v>45016</v>
      </c>
      <c r="C14" s="74">
        <f>A62</f>
        <v>45382</v>
      </c>
      <c r="D14" s="74">
        <f>'Balance Sheet'!D4</f>
        <v>45747</v>
      </c>
      <c r="F14" s="89" t="s">
        <v>148</v>
      </c>
      <c r="G14" s="89" t="s">
        <v>149</v>
      </c>
      <c r="H14" s="89" t="s">
        <v>150</v>
      </c>
      <c r="I14" s="89" t="s">
        <v>151</v>
      </c>
      <c r="J14" s="89" t="s">
        <v>152</v>
      </c>
    </row>
    <row r="15" spans="1:17" x14ac:dyDescent="0.3">
      <c r="A15" s="66" t="s">
        <v>76</v>
      </c>
      <c r="B15" s="68">
        <f>IF('DATA SHEET'!B9&gt;0,'DATA SHEET'!B11/'DATA SHEET'!B9)</f>
        <v>0.31387936456057441</v>
      </c>
      <c r="C15" s="68">
        <f>IF('DATA SHEET'!C9&gt;0,'DATA SHEET'!C11/'DATA SHEET'!C9)</f>
        <v>0.39347952796982605</v>
      </c>
      <c r="D15" s="68">
        <f>IF('DATA SHEET'!D9&gt;0,'DATA SHEET'!D11/'DATA SHEET'!D9)</f>
        <v>0.34228114732261788</v>
      </c>
      <c r="F15" s="82">
        <f>Dashboard!A28</f>
        <v>45747</v>
      </c>
      <c r="G15" s="18">
        <f>_xlfn.XLOOKUP(F15,'Cash Flow'!B4:D4,'Cash Flow'!B5:D5)</f>
        <v>1867.8</v>
      </c>
      <c r="H15" s="18">
        <f>_xlfn.XLOOKUP($F$15,'Cash Flow'!$B$4:$D$4,'Cash Flow'!B6:D6)</f>
        <v>-2082.23</v>
      </c>
      <c r="I15" s="18">
        <f>_xlfn.XLOOKUP($F$15,'Cash Flow'!$B$4:$D$4,'Cash Flow'!B7:D7)</f>
        <v>282</v>
      </c>
      <c r="J15" s="18">
        <f>_xlfn.XLOOKUP($F$15,'Cash Flow'!$B$4:$D$4,'Cash Flow'!B8:D8)</f>
        <v>67.569999999999993</v>
      </c>
    </row>
    <row r="16" spans="1:17" x14ac:dyDescent="0.3">
      <c r="A16" s="66" t="s">
        <v>77</v>
      </c>
      <c r="B16" s="67">
        <f>'Profit and loss'!B25</f>
        <v>0.10449215566709948</v>
      </c>
      <c r="C16" s="67">
        <f>'Profit and loss'!C25</f>
        <v>0.16974475867475217</v>
      </c>
      <c r="D16" s="67">
        <f>'Profit and loss'!D25</f>
        <v>0.14544534233194203</v>
      </c>
    </row>
    <row r="17" spans="1:6" x14ac:dyDescent="0.3">
      <c r="A17" s="66" t="s">
        <v>78</v>
      </c>
      <c r="B17" s="68">
        <f>IF('Profit and loss'!B5&gt;0,'Profit and loss'!B14/'Profit and loss'!B5,"")</f>
        <v>3.3419635410305744E-2</v>
      </c>
      <c r="C17" s="68">
        <f>IF('Profit and loss'!C5&gt;0,'Profit and loss'!C14/'Profit and loss'!C5,"")</f>
        <v>8.2690703901229817E-2</v>
      </c>
      <c r="D17" s="68">
        <f>IF('Profit and loss'!D5&gt;0,'Profit and loss'!D14/'Profit and loss'!D5,"")</f>
        <v>6.6398366042092177E-2</v>
      </c>
    </row>
    <row r="18" spans="1:6" x14ac:dyDescent="0.3">
      <c r="A18" s="66" t="s">
        <v>79</v>
      </c>
      <c r="B18" s="67">
        <f>'Balance Sheet'!B24</f>
        <v>5.2280920282356265E-2</v>
      </c>
      <c r="C18" s="67">
        <f>'Balance Sheet'!C24</f>
        <v>0.12460164317885598</v>
      </c>
      <c r="D18" s="67">
        <f>'Balance Sheet'!D24</f>
        <v>0.10110522996507008</v>
      </c>
    </row>
    <row r="19" spans="1:6" x14ac:dyDescent="0.3">
      <c r="A19" s="66" t="s">
        <v>80</v>
      </c>
      <c r="B19" s="69">
        <f>'Balance Sheet'!B27</f>
        <v>3.1553082327393234E-2</v>
      </c>
      <c r="C19" s="67">
        <f>'Balance Sheet'!C27</f>
        <v>8.1267752256786757E-2</v>
      </c>
      <c r="D19" s="67">
        <f>'Balance Sheet'!D27</f>
        <v>6.6267232128518608E-2</v>
      </c>
    </row>
    <row r="20" spans="1:6" x14ac:dyDescent="0.3">
      <c r="A20" s="66" t="s">
        <v>144</v>
      </c>
      <c r="B20" s="77">
        <f>IF('Profit and loss'!B9&gt;0,(SUM('Balance Sheet Detailed'!B29:B30,'Balance Sheet Detailed'!B35:B36)+('DATA SHEET'!B55*'DATA SHEET'!$B$2)-'Balance Sheet Detailed'!B16)/'Profit and loss'!B9,"")</f>
        <v>14.366735553870017</v>
      </c>
      <c r="C20" s="77">
        <f>IF('Profit and loss'!C9&gt;0,(SUM('Balance Sheet Detailed'!C29:C30,'Balance Sheet Detailed'!C35:C36)+('DATA SHEET'!C55*'DATA SHEET'!$B$2)-'Balance Sheet Detailed'!C16)/'Profit and loss'!C9,"")</f>
        <v>12.823856598958994</v>
      </c>
      <c r="D20" s="77">
        <f>IF('Profit and loss'!D9&gt;0,(SUM('Balance Sheet Detailed'!D29:D30,'Balance Sheet Detailed'!D35:D36)+('DATA SHEET'!D55*'DATA SHEET'!$B$2)-'Balance Sheet Detailed'!D16)/'Profit and loss'!D9,"")</f>
        <v>11.109726686808845</v>
      </c>
    </row>
    <row r="21" spans="1:6" x14ac:dyDescent="0.3">
      <c r="A21" s="66" t="s">
        <v>145</v>
      </c>
      <c r="B21" s="71">
        <f>'Profit and loss'!B16</f>
        <v>45.907721118957511</v>
      </c>
      <c r="C21" s="71">
        <f>'Profit and loss'!C16</f>
        <v>26.918185487358375</v>
      </c>
      <c r="D21" s="71">
        <f>'Profit and loss'!D16</f>
        <v>25.317049880167762</v>
      </c>
    </row>
    <row r="23" spans="1:6" ht="23.4" x14ac:dyDescent="0.3">
      <c r="A23" s="111" t="s">
        <v>91</v>
      </c>
      <c r="B23" s="112"/>
      <c r="C23" s="112"/>
      <c r="D23" s="112"/>
      <c r="E23" s="112"/>
      <c r="F23" s="113"/>
    </row>
    <row r="24" spans="1:6" ht="15" customHeight="1" x14ac:dyDescent="0.3">
      <c r="A24" s="72"/>
      <c r="B24" s="73"/>
      <c r="C24" s="75">
        <f>'Balance Sheet'!B4</f>
        <v>45016</v>
      </c>
      <c r="D24" s="75">
        <f>'Balance Sheet'!C4</f>
        <v>45382</v>
      </c>
      <c r="E24" s="75">
        <f>'Balance Sheet'!D4</f>
        <v>45747</v>
      </c>
      <c r="F24" s="76" t="s">
        <v>81</v>
      </c>
    </row>
    <row r="25" spans="1:6" x14ac:dyDescent="0.3">
      <c r="A25" s="24" t="s">
        <v>95</v>
      </c>
      <c r="B25" s="18" t="s">
        <v>92</v>
      </c>
      <c r="C25" s="71">
        <f>IF(SUM('Balance Sheet Detailed'!B35:B42)&gt;0,SUM('Balance Sheet Detailed'!B13:B20)/SUM('Balance Sheet Detailed'!B35:B42),"")</f>
        <v>1.2186649798672322</v>
      </c>
      <c r="D25" s="71">
        <f>IF(SUM('Balance Sheet Detailed'!C35:C42)&gt;0,SUM('Balance Sheet Detailed'!C13:C20)/SUM('Balance Sheet Detailed'!C35:C42),"")</f>
        <v>1.3528484285903728</v>
      </c>
      <c r="E25" s="71">
        <f>IF(SUM('Balance Sheet Detailed'!D35:D42)&gt;0,SUM('Balance Sheet Detailed'!D13:D20)/SUM('Balance Sheet Detailed'!D35:D42),"")</f>
        <v>1.4778612639967483</v>
      </c>
      <c r="F25" s="25">
        <f t="shared" ref="F25:F32" si="0">((E25/C25)^(1/3))-1</f>
        <v>6.6390935743353419E-2</v>
      </c>
    </row>
    <row r="26" spans="1:6" x14ac:dyDescent="0.3">
      <c r="A26" s="18"/>
      <c r="B26" s="18" t="s">
        <v>93</v>
      </c>
      <c r="C26" s="71">
        <f>IF(SUM('Balance Sheet Detailed'!B35:B42)&gt;0,SUM('Balance Sheet Detailed'!B14:B16,'Balance Sheet Detailed'!B19)/SUM('Balance Sheet Detailed'!B35:B42),"")</f>
        <v>0.63454402002394161</v>
      </c>
      <c r="D26" s="71">
        <f>IF(SUM('Balance Sheet Detailed'!C35:C42)&gt;0,SUM('Balance Sheet Detailed'!C14:C16,'Balance Sheet Detailed'!C19)/SUM('Balance Sheet Detailed'!C35:C42),"")</f>
        <v>0.73291871104628048</v>
      </c>
      <c r="E26" s="71">
        <f>IF(SUM('Balance Sheet Detailed'!D35:D42)&gt;0,SUM('Balance Sheet Detailed'!D14:D16,'Balance Sheet Detailed'!D19)/SUM('Balance Sheet Detailed'!D35:D42),"")</f>
        <v>0.81079451451255957</v>
      </c>
      <c r="F26" s="25">
        <f t="shared" si="0"/>
        <v>8.5133110830582837E-2</v>
      </c>
    </row>
    <row r="27" spans="1:6" x14ac:dyDescent="0.3">
      <c r="A27" s="18"/>
      <c r="B27" s="18" t="s">
        <v>94</v>
      </c>
      <c r="C27" s="71">
        <f>IF(SUM('Balance Sheet Detailed'!B35:B42)&gt;0,SUM('Balance Sheet Detailed'!B16)/SUM('Balance Sheet Detailed'!B35:B42),"")</f>
        <v>1.9902873000326476E-2</v>
      </c>
      <c r="D27" s="71">
        <f>IF(SUM('Balance Sheet Detailed'!C35:C42)&gt;0,SUM('Balance Sheet Detailed'!C16)/SUM('Balance Sheet Detailed'!C35:C42),"")</f>
        <v>3.123591035671662E-2</v>
      </c>
      <c r="E27" s="71">
        <f>IF(SUM('Balance Sheet Detailed'!D35:D42)&gt;0,SUM('Balance Sheet Detailed'!D16)/SUM('Balance Sheet Detailed'!D35:D42),"")</f>
        <v>2.7662490589348113E-2</v>
      </c>
      <c r="F27" s="25">
        <f t="shared" si="0"/>
        <v>0.11598537310010104</v>
      </c>
    </row>
    <row r="28" spans="1:6" x14ac:dyDescent="0.3">
      <c r="A28" s="24" t="s">
        <v>134</v>
      </c>
      <c r="B28" s="18" t="s">
        <v>138</v>
      </c>
      <c r="C28" s="71">
        <f>SUM('Balance Sheet Detailed'!B35:B36,'Balance Sheet Detailed'!B29:B30)/'Balance Sheet Detailed'!B21</f>
        <v>0.10661074977886467</v>
      </c>
      <c r="D28" s="71">
        <f>SUM('Balance Sheet Detailed'!C35:C36,'Balance Sheet Detailed'!C29:C30)/'Balance Sheet Detailed'!C21</f>
        <v>8.9990872537695735E-2</v>
      </c>
      <c r="E28" s="71">
        <f>SUM('Balance Sheet Detailed'!D35:D36,'Balance Sheet Detailed'!D29:D30)/'Balance Sheet Detailed'!D21</f>
        <v>8.4296177150889634E-2</v>
      </c>
      <c r="F28" s="25">
        <f t="shared" si="0"/>
        <v>-7.5296941650280114E-2</v>
      </c>
    </row>
    <row r="29" spans="1:6" x14ac:dyDescent="0.3">
      <c r="A29" s="18"/>
      <c r="B29" s="18" t="s">
        <v>139</v>
      </c>
      <c r="C29" s="71">
        <f>SUM('Balance Sheet Detailed'!B29:B30,'Balance Sheet Detailed'!B35:B36)/'Balance Sheet Detailed'!B26</f>
        <v>0.17652580800572334</v>
      </c>
      <c r="D29" s="71">
        <f>SUM('Balance Sheet Detailed'!C29:C30,'Balance Sheet Detailed'!C35:C36)/'Balance Sheet Detailed'!C26</f>
        <v>0.14458613254342134</v>
      </c>
      <c r="E29" s="71">
        <f>SUM('Balance Sheet Detailed'!D29:D30,'Balance Sheet Detailed'!D35:D36)/'Balance Sheet Detailed'!D26</f>
        <v>0.13494209630680679</v>
      </c>
      <c r="F29" s="25">
        <f t="shared" si="0"/>
        <v>-8.5648710922112237E-2</v>
      </c>
    </row>
    <row r="30" spans="1:6" x14ac:dyDescent="0.3">
      <c r="A30" s="18"/>
      <c r="B30" s="18" t="s">
        <v>137</v>
      </c>
      <c r="C30" s="71">
        <f>IF('Profit and loss'!B11&gt;0,SUM('Profit and loss'!B7:B10)/'Profit and loss'!B11,"")</f>
        <v>20.068800735181469</v>
      </c>
      <c r="D30" s="71">
        <f>IF('Profit and loss'!C11&gt;0,SUM('Profit and loss'!C7:C10)/'Profit and loss'!C11,"")</f>
        <v>29.323906600559482</v>
      </c>
      <c r="E30" s="71">
        <f>IF('Profit and loss'!D11&gt;0,SUM('Profit and loss'!D7:D10)/'Profit and loss'!D11,"")</f>
        <v>28.969709329200303</v>
      </c>
      <c r="F30" s="25">
        <f t="shared" si="0"/>
        <v>0.13016253323209082</v>
      </c>
    </row>
    <row r="31" spans="1:6" x14ac:dyDescent="0.3">
      <c r="A31" s="18"/>
      <c r="B31" s="18" t="s">
        <v>135</v>
      </c>
      <c r="C31" s="71">
        <f>SUM('Profit and loss'!B7:B8)/'Profit and loss'!B11</f>
        <v>8.1152090672384602</v>
      </c>
      <c r="D31" s="71">
        <f>SUM('Profit and loss'!C7:C8)/'Profit and loss'!C11</f>
        <v>12.681550009694471</v>
      </c>
      <c r="E31" s="71">
        <f>SUM('Profit and loss'!D7:D8)/'Profit and loss'!D11</f>
        <v>12.236778421295913</v>
      </c>
      <c r="F31" s="25">
        <f t="shared" si="0"/>
        <v>0.14671579463393147</v>
      </c>
    </row>
    <row r="32" spans="1:6" x14ac:dyDescent="0.3">
      <c r="A32" s="18"/>
      <c r="B32" s="18" t="s">
        <v>136</v>
      </c>
      <c r="C32" s="71">
        <f>'Profit and loss'!B14/'Balance Sheet Detailed'!B43</f>
        <v>8.0813420663213828E-2</v>
      </c>
      <c r="D32" s="71">
        <f>'Profit and loss'!C14/'Balance Sheet Detailed'!C43</f>
        <v>0.20866159889474178</v>
      </c>
      <c r="E32" s="71">
        <f>'Profit and loss'!D14/'Balance Sheet Detailed'!D43</f>
        <v>0.17117588182666482</v>
      </c>
      <c r="F32" s="25">
        <f t="shared" si="0"/>
        <v>0.284260212591676</v>
      </c>
    </row>
    <row r="45" spans="1:3" x14ac:dyDescent="0.3">
      <c r="A45" s="4" t="s">
        <v>164</v>
      </c>
    </row>
    <row r="46" spans="1:3" x14ac:dyDescent="0.3">
      <c r="A46" s="97" t="s">
        <v>148</v>
      </c>
      <c r="B46" s="98" t="s">
        <v>158</v>
      </c>
      <c r="C46" s="99" t="s">
        <v>159</v>
      </c>
    </row>
    <row r="47" spans="1:3" x14ac:dyDescent="0.3">
      <c r="A47" s="93">
        <f>'Balance Sheet'!$B$4</f>
        <v>45016</v>
      </c>
      <c r="B47" s="91" t="s">
        <v>76</v>
      </c>
      <c r="C47" s="94">
        <f t="shared" ref="C47:C53" si="1">B15</f>
        <v>0.31387936456057441</v>
      </c>
    </row>
    <row r="48" spans="1:3" x14ac:dyDescent="0.3">
      <c r="A48" s="93">
        <f>'Balance Sheet'!$B$4</f>
        <v>45016</v>
      </c>
      <c r="B48" s="91" t="s">
        <v>77</v>
      </c>
      <c r="C48" s="94">
        <f t="shared" si="1"/>
        <v>0.10449215566709948</v>
      </c>
    </row>
    <row r="49" spans="1:3" x14ac:dyDescent="0.3">
      <c r="A49" s="93">
        <f>'Balance Sheet'!$B$4</f>
        <v>45016</v>
      </c>
      <c r="B49" s="91" t="s">
        <v>78</v>
      </c>
      <c r="C49" s="94">
        <f t="shared" si="1"/>
        <v>3.3419635410305744E-2</v>
      </c>
    </row>
    <row r="50" spans="1:3" x14ac:dyDescent="0.3">
      <c r="A50" s="93">
        <f>'Balance Sheet'!$B$4</f>
        <v>45016</v>
      </c>
      <c r="B50" s="91" t="s">
        <v>79</v>
      </c>
      <c r="C50" s="94">
        <f t="shared" si="1"/>
        <v>5.2280920282356265E-2</v>
      </c>
    </row>
    <row r="51" spans="1:3" x14ac:dyDescent="0.3">
      <c r="A51" s="93">
        <f>'Balance Sheet'!$B$4</f>
        <v>45016</v>
      </c>
      <c r="B51" s="91" t="s">
        <v>80</v>
      </c>
      <c r="C51" s="94">
        <f t="shared" si="1"/>
        <v>3.1553082327393234E-2</v>
      </c>
    </row>
    <row r="52" spans="1:3" x14ac:dyDescent="0.3">
      <c r="A52" s="93">
        <f>'Balance Sheet'!$B$4</f>
        <v>45016</v>
      </c>
      <c r="B52" s="91" t="s">
        <v>144</v>
      </c>
      <c r="C52" s="95">
        <f t="shared" si="1"/>
        <v>14.366735553870017</v>
      </c>
    </row>
    <row r="53" spans="1:3" x14ac:dyDescent="0.3">
      <c r="A53" s="93">
        <f>'Balance Sheet'!$B$4</f>
        <v>45016</v>
      </c>
      <c r="B53" s="91" t="s">
        <v>145</v>
      </c>
      <c r="C53" s="95">
        <f t="shared" si="1"/>
        <v>45.907721118957511</v>
      </c>
    </row>
    <row r="54" spans="1:3" x14ac:dyDescent="0.3">
      <c r="A54" s="93">
        <f>'Balance Sheet'!$B$4</f>
        <v>45016</v>
      </c>
      <c r="B54" s="18" t="s">
        <v>92</v>
      </c>
      <c r="C54" s="95">
        <f t="shared" ref="C54:C61" si="2">C25</f>
        <v>1.2186649798672322</v>
      </c>
    </row>
    <row r="55" spans="1:3" x14ac:dyDescent="0.3">
      <c r="A55" s="93">
        <f>'Balance Sheet'!$B$4</f>
        <v>45016</v>
      </c>
      <c r="B55" s="18" t="s">
        <v>93</v>
      </c>
      <c r="C55" s="95">
        <f t="shared" si="2"/>
        <v>0.63454402002394161</v>
      </c>
    </row>
    <row r="56" spans="1:3" x14ac:dyDescent="0.3">
      <c r="A56" s="93">
        <f>'Balance Sheet'!$B$4</f>
        <v>45016</v>
      </c>
      <c r="B56" s="18" t="s">
        <v>94</v>
      </c>
      <c r="C56" s="95">
        <f t="shared" si="2"/>
        <v>1.9902873000326476E-2</v>
      </c>
    </row>
    <row r="57" spans="1:3" x14ac:dyDescent="0.3">
      <c r="A57" s="93">
        <f>'Balance Sheet'!$B$4</f>
        <v>45016</v>
      </c>
      <c r="B57" s="18" t="s">
        <v>138</v>
      </c>
      <c r="C57" s="95">
        <f t="shared" si="2"/>
        <v>0.10661074977886467</v>
      </c>
    </row>
    <row r="58" spans="1:3" x14ac:dyDescent="0.3">
      <c r="A58" s="93">
        <f>'Balance Sheet'!$B$4</f>
        <v>45016</v>
      </c>
      <c r="B58" s="18" t="s">
        <v>139</v>
      </c>
      <c r="C58" s="95">
        <f t="shared" si="2"/>
        <v>0.17652580800572334</v>
      </c>
    </row>
    <row r="59" spans="1:3" x14ac:dyDescent="0.3">
      <c r="A59" s="93">
        <f>'Balance Sheet'!$B$4</f>
        <v>45016</v>
      </c>
      <c r="B59" s="18" t="s">
        <v>137</v>
      </c>
      <c r="C59" s="95">
        <f t="shared" si="2"/>
        <v>20.068800735181469</v>
      </c>
    </row>
    <row r="60" spans="1:3" x14ac:dyDescent="0.3">
      <c r="A60" s="93">
        <f>'Balance Sheet'!$B$4</f>
        <v>45016</v>
      </c>
      <c r="B60" s="18" t="s">
        <v>135</v>
      </c>
      <c r="C60" s="95">
        <f t="shared" si="2"/>
        <v>8.1152090672384602</v>
      </c>
    </row>
    <row r="61" spans="1:3" x14ac:dyDescent="0.3">
      <c r="A61" s="93">
        <f>'Balance Sheet'!$B$4</f>
        <v>45016</v>
      </c>
      <c r="B61" s="18" t="s">
        <v>136</v>
      </c>
      <c r="C61" s="95">
        <f t="shared" si="2"/>
        <v>8.0813420663213828E-2</v>
      </c>
    </row>
    <row r="62" spans="1:3" x14ac:dyDescent="0.3">
      <c r="A62" s="93">
        <f>'Balance Sheet'!$C$4</f>
        <v>45382</v>
      </c>
      <c r="B62" s="91" t="s">
        <v>76</v>
      </c>
      <c r="C62" s="94">
        <f t="shared" ref="C62:C68" si="3">C15</f>
        <v>0.39347952796982605</v>
      </c>
    </row>
    <row r="63" spans="1:3" x14ac:dyDescent="0.3">
      <c r="A63" s="93">
        <f>'Balance Sheet'!$C$4</f>
        <v>45382</v>
      </c>
      <c r="B63" s="91" t="s">
        <v>77</v>
      </c>
      <c r="C63" s="94">
        <f t="shared" si="3"/>
        <v>0.16974475867475217</v>
      </c>
    </row>
    <row r="64" spans="1:3" x14ac:dyDescent="0.3">
      <c r="A64" s="93">
        <f>'Balance Sheet'!$C$4</f>
        <v>45382</v>
      </c>
      <c r="B64" s="91" t="s">
        <v>78</v>
      </c>
      <c r="C64" s="94">
        <f t="shared" si="3"/>
        <v>8.2690703901229817E-2</v>
      </c>
    </row>
    <row r="65" spans="1:3" x14ac:dyDescent="0.3">
      <c r="A65" s="93">
        <f>'Balance Sheet'!$C$4</f>
        <v>45382</v>
      </c>
      <c r="B65" s="91" t="s">
        <v>79</v>
      </c>
      <c r="C65" s="94">
        <f t="shared" si="3"/>
        <v>0.12460164317885598</v>
      </c>
    </row>
    <row r="66" spans="1:3" x14ac:dyDescent="0.3">
      <c r="A66" s="93">
        <f>'Balance Sheet'!$C$4</f>
        <v>45382</v>
      </c>
      <c r="B66" s="91" t="s">
        <v>80</v>
      </c>
      <c r="C66" s="94">
        <f t="shared" si="3"/>
        <v>8.1267752256786757E-2</v>
      </c>
    </row>
    <row r="67" spans="1:3" x14ac:dyDescent="0.3">
      <c r="A67" s="93">
        <f>'Balance Sheet'!$C$4</f>
        <v>45382</v>
      </c>
      <c r="B67" s="91" t="s">
        <v>144</v>
      </c>
      <c r="C67" s="95">
        <f t="shared" si="3"/>
        <v>12.823856598958994</v>
      </c>
    </row>
    <row r="68" spans="1:3" x14ac:dyDescent="0.3">
      <c r="A68" s="93">
        <f>'Balance Sheet'!$C$4</f>
        <v>45382</v>
      </c>
      <c r="B68" s="91" t="s">
        <v>145</v>
      </c>
      <c r="C68" s="95">
        <f t="shared" si="3"/>
        <v>26.918185487358375</v>
      </c>
    </row>
    <row r="69" spans="1:3" x14ac:dyDescent="0.3">
      <c r="A69" s="93">
        <f>'Balance Sheet'!$C$4</f>
        <v>45382</v>
      </c>
      <c r="B69" s="18" t="s">
        <v>92</v>
      </c>
      <c r="C69" s="95">
        <f t="shared" ref="C69:C76" si="4">C25</f>
        <v>1.2186649798672322</v>
      </c>
    </row>
    <row r="70" spans="1:3" x14ac:dyDescent="0.3">
      <c r="A70" s="93">
        <f>'Balance Sheet'!$C$4</f>
        <v>45382</v>
      </c>
      <c r="B70" s="18" t="s">
        <v>93</v>
      </c>
      <c r="C70" s="95">
        <f t="shared" si="4"/>
        <v>0.63454402002394161</v>
      </c>
    </row>
    <row r="71" spans="1:3" x14ac:dyDescent="0.3">
      <c r="A71" s="93">
        <f>'Balance Sheet'!$C$4</f>
        <v>45382</v>
      </c>
      <c r="B71" s="18" t="s">
        <v>94</v>
      </c>
      <c r="C71" s="95">
        <f t="shared" si="4"/>
        <v>1.9902873000326476E-2</v>
      </c>
    </row>
    <row r="72" spans="1:3" x14ac:dyDescent="0.3">
      <c r="A72" s="93">
        <f>'Balance Sheet'!$C$4</f>
        <v>45382</v>
      </c>
      <c r="B72" s="18" t="s">
        <v>138</v>
      </c>
      <c r="C72" s="95">
        <f t="shared" si="4"/>
        <v>0.10661074977886467</v>
      </c>
    </row>
    <row r="73" spans="1:3" x14ac:dyDescent="0.3">
      <c r="A73" s="93">
        <f>'Balance Sheet'!$C$4</f>
        <v>45382</v>
      </c>
      <c r="B73" s="18" t="s">
        <v>139</v>
      </c>
      <c r="C73" s="95">
        <f t="shared" si="4"/>
        <v>0.17652580800572334</v>
      </c>
    </row>
    <row r="74" spans="1:3" x14ac:dyDescent="0.3">
      <c r="A74" s="93">
        <f>'Balance Sheet'!$C$4</f>
        <v>45382</v>
      </c>
      <c r="B74" s="18" t="s">
        <v>137</v>
      </c>
      <c r="C74" s="95">
        <f t="shared" si="4"/>
        <v>20.068800735181469</v>
      </c>
    </row>
    <row r="75" spans="1:3" x14ac:dyDescent="0.3">
      <c r="A75" s="93">
        <f>'Balance Sheet'!$C$4</f>
        <v>45382</v>
      </c>
      <c r="B75" s="18" t="s">
        <v>135</v>
      </c>
      <c r="C75" s="95">
        <f t="shared" si="4"/>
        <v>8.1152090672384602</v>
      </c>
    </row>
    <row r="76" spans="1:3" x14ac:dyDescent="0.3">
      <c r="A76" s="93">
        <f>'Balance Sheet'!$C$4</f>
        <v>45382</v>
      </c>
      <c r="B76" s="18" t="s">
        <v>136</v>
      </c>
      <c r="C76" s="95">
        <f t="shared" si="4"/>
        <v>8.0813420663213828E-2</v>
      </c>
    </row>
    <row r="77" spans="1:3" x14ac:dyDescent="0.3">
      <c r="A77" s="93">
        <f>'Balance Sheet'!$D$4</f>
        <v>45747</v>
      </c>
      <c r="B77" s="91" t="s">
        <v>76</v>
      </c>
      <c r="C77" s="94">
        <f t="shared" ref="C77:C83" si="5">D15</f>
        <v>0.34228114732261788</v>
      </c>
    </row>
    <row r="78" spans="1:3" x14ac:dyDescent="0.3">
      <c r="A78" s="93">
        <f>'Balance Sheet'!$D$4</f>
        <v>45747</v>
      </c>
      <c r="B78" s="91" t="s">
        <v>77</v>
      </c>
      <c r="C78" s="94">
        <f t="shared" si="5"/>
        <v>0.14544534233194203</v>
      </c>
    </row>
    <row r="79" spans="1:3" x14ac:dyDescent="0.3">
      <c r="A79" s="93">
        <f>'Balance Sheet'!$D$4</f>
        <v>45747</v>
      </c>
      <c r="B79" s="91" t="s">
        <v>78</v>
      </c>
      <c r="C79" s="94">
        <f t="shared" si="5"/>
        <v>6.6398366042092177E-2</v>
      </c>
    </row>
    <row r="80" spans="1:3" x14ac:dyDescent="0.3">
      <c r="A80" s="93">
        <f>'Balance Sheet'!$D$4</f>
        <v>45747</v>
      </c>
      <c r="B80" s="91" t="s">
        <v>79</v>
      </c>
      <c r="C80" s="94">
        <f t="shared" si="5"/>
        <v>0.10110522996507008</v>
      </c>
    </row>
    <row r="81" spans="1:3" x14ac:dyDescent="0.3">
      <c r="A81" s="93">
        <f>'Balance Sheet'!$D$4</f>
        <v>45747</v>
      </c>
      <c r="B81" s="91" t="s">
        <v>80</v>
      </c>
      <c r="C81" s="94">
        <f t="shared" si="5"/>
        <v>6.6267232128518608E-2</v>
      </c>
    </row>
    <row r="82" spans="1:3" x14ac:dyDescent="0.3">
      <c r="A82" s="93">
        <f>'Balance Sheet'!$D$4</f>
        <v>45747</v>
      </c>
      <c r="B82" s="91" t="s">
        <v>144</v>
      </c>
      <c r="C82" s="95">
        <f t="shared" si="5"/>
        <v>11.109726686808845</v>
      </c>
    </row>
    <row r="83" spans="1:3" x14ac:dyDescent="0.3">
      <c r="A83" s="93">
        <f>'Balance Sheet'!$D$4</f>
        <v>45747</v>
      </c>
      <c r="B83" s="91" t="s">
        <v>145</v>
      </c>
      <c r="C83" s="95">
        <f t="shared" si="5"/>
        <v>25.317049880167762</v>
      </c>
    </row>
    <row r="84" spans="1:3" x14ac:dyDescent="0.3">
      <c r="A84" s="93">
        <f>'Balance Sheet'!$D$4</f>
        <v>45747</v>
      </c>
      <c r="B84" s="18" t="s">
        <v>92</v>
      </c>
      <c r="C84" s="95">
        <f t="shared" ref="C84:C91" si="6">E25</f>
        <v>1.4778612639967483</v>
      </c>
    </row>
    <row r="85" spans="1:3" x14ac:dyDescent="0.3">
      <c r="A85" s="93">
        <f>'Balance Sheet'!$D$4</f>
        <v>45747</v>
      </c>
      <c r="B85" s="18" t="s">
        <v>93</v>
      </c>
      <c r="C85" s="95">
        <f t="shared" si="6"/>
        <v>0.81079451451255957</v>
      </c>
    </row>
    <row r="86" spans="1:3" x14ac:dyDescent="0.3">
      <c r="A86" s="93">
        <f>'Balance Sheet'!$D$4</f>
        <v>45747</v>
      </c>
      <c r="B86" s="18" t="s">
        <v>94</v>
      </c>
      <c r="C86" s="95">
        <f t="shared" si="6"/>
        <v>2.7662490589348113E-2</v>
      </c>
    </row>
    <row r="87" spans="1:3" x14ac:dyDescent="0.3">
      <c r="A87" s="93">
        <f>'Balance Sheet'!$D$4</f>
        <v>45747</v>
      </c>
      <c r="B87" s="18" t="s">
        <v>138</v>
      </c>
      <c r="C87" s="95">
        <f t="shared" si="6"/>
        <v>8.4296177150889634E-2</v>
      </c>
    </row>
    <row r="88" spans="1:3" x14ac:dyDescent="0.3">
      <c r="A88" s="93">
        <f>'Balance Sheet'!$D$4</f>
        <v>45747</v>
      </c>
      <c r="B88" s="18" t="s">
        <v>139</v>
      </c>
      <c r="C88" s="95">
        <f t="shared" si="6"/>
        <v>0.13494209630680679</v>
      </c>
    </row>
    <row r="89" spans="1:3" x14ac:dyDescent="0.3">
      <c r="A89" s="93">
        <f>'Balance Sheet'!$D$4</f>
        <v>45747</v>
      </c>
      <c r="B89" s="18" t="s">
        <v>137</v>
      </c>
      <c r="C89" s="95">
        <f t="shared" si="6"/>
        <v>28.969709329200303</v>
      </c>
    </row>
    <row r="90" spans="1:3" x14ac:dyDescent="0.3">
      <c r="A90" s="93">
        <f>'Balance Sheet'!$D$4</f>
        <v>45747</v>
      </c>
      <c r="B90" s="18" t="s">
        <v>135</v>
      </c>
      <c r="C90" s="95">
        <f t="shared" si="6"/>
        <v>12.236778421295913</v>
      </c>
    </row>
    <row r="91" spans="1:3" x14ac:dyDescent="0.3">
      <c r="A91" s="93">
        <f>'Balance Sheet'!$D$4</f>
        <v>45747</v>
      </c>
      <c r="B91" s="18" t="s">
        <v>136</v>
      </c>
      <c r="C91" s="95">
        <f t="shared" si="6"/>
        <v>0.17117588182666482</v>
      </c>
    </row>
    <row r="92" spans="1:3" x14ac:dyDescent="0.3">
      <c r="A92" s="93">
        <f>$F$15</f>
        <v>45747</v>
      </c>
      <c r="B92" s="18" t="s">
        <v>165</v>
      </c>
      <c r="C92" s="95">
        <f>G15</f>
        <v>1867.8</v>
      </c>
    </row>
    <row r="93" spans="1:3" x14ac:dyDescent="0.3">
      <c r="A93" s="93">
        <f>$F$15</f>
        <v>45747</v>
      </c>
      <c r="B93" s="18" t="s">
        <v>166</v>
      </c>
      <c r="C93" s="95">
        <f>H15</f>
        <v>-2082.23</v>
      </c>
    </row>
    <row r="94" spans="1:3" x14ac:dyDescent="0.3">
      <c r="A94" s="93">
        <f>$F$15</f>
        <v>45747</v>
      </c>
      <c r="B94" s="18" t="s">
        <v>167</v>
      </c>
      <c r="C94" s="96">
        <f>I15</f>
        <v>282</v>
      </c>
    </row>
    <row r="95" spans="1:3" x14ac:dyDescent="0.3">
      <c r="A95" s="93">
        <f>$F$15</f>
        <v>45747</v>
      </c>
      <c r="B95" s="18" t="s">
        <v>168</v>
      </c>
      <c r="C95" s="96">
        <f>J15</f>
        <v>67.569999999999993</v>
      </c>
    </row>
    <row r="96" spans="1:3" x14ac:dyDescent="0.3">
      <c r="A96" s="93">
        <f>'Balance Sheet'!$B$4</f>
        <v>45016</v>
      </c>
      <c r="B96" s="18" t="str">
        <f>'Profit and loss'!$A$14</f>
        <v>Net profit</v>
      </c>
      <c r="C96" s="96">
        <f>'Profit and loss'!B14</f>
        <v>768.93</v>
      </c>
    </row>
    <row r="97" spans="1:3" x14ac:dyDescent="0.3">
      <c r="A97" s="93">
        <f>'Balance Sheet'!$C$4</f>
        <v>45382</v>
      </c>
      <c r="B97" s="18" t="str">
        <f>'Profit and loss'!$A$14</f>
        <v>Net profit</v>
      </c>
      <c r="C97" s="96">
        <f>'Profit and loss'!C14</f>
        <v>2081.2199999999998</v>
      </c>
    </row>
    <row r="98" spans="1:3" x14ac:dyDescent="0.3">
      <c r="A98" s="93">
        <f>'Balance Sheet'!$D$4</f>
        <v>45747</v>
      </c>
      <c r="B98" s="18" t="str">
        <f>'Profit and loss'!$A$14</f>
        <v>Net profit</v>
      </c>
      <c r="C98" s="96">
        <f>'Profit and loss'!D14</f>
        <v>1869.28</v>
      </c>
    </row>
    <row r="99" spans="1:3" x14ac:dyDescent="0.3">
      <c r="A99" s="93">
        <f>'Balance Sheet'!$B$4</f>
        <v>45016</v>
      </c>
      <c r="B99" s="18" t="s">
        <v>70</v>
      </c>
      <c r="C99" s="95">
        <f>'Profit and loss'!B5</f>
        <v>23008.33</v>
      </c>
    </row>
    <row r="100" spans="1:3" x14ac:dyDescent="0.3">
      <c r="A100" s="93">
        <f>'Balance Sheet'!$C$4</f>
        <v>45382</v>
      </c>
      <c r="B100" s="18" t="s">
        <v>70</v>
      </c>
      <c r="C100" s="95">
        <f>'Profit and loss'!C5</f>
        <v>25168.73</v>
      </c>
    </row>
    <row r="101" spans="1:3" x14ac:dyDescent="0.3">
      <c r="A101" s="100">
        <f>'Balance Sheet'!$D$4</f>
        <v>45747</v>
      </c>
      <c r="B101" s="101" t="s">
        <v>70</v>
      </c>
      <c r="C101" s="102">
        <f>'Profit and loss'!D5</f>
        <v>28152.5</v>
      </c>
    </row>
    <row r="102" spans="1:3" x14ac:dyDescent="0.3">
      <c r="A102" s="93">
        <f>'Balance Sheet'!$B$4</f>
        <v>45016</v>
      </c>
      <c r="B102" s="18" t="s">
        <v>149</v>
      </c>
      <c r="C102" s="95">
        <f>'Cash Flow'!B5</f>
        <v>2755.47</v>
      </c>
    </row>
    <row r="103" spans="1:3" x14ac:dyDescent="0.3">
      <c r="A103" s="93">
        <f>'Balance Sheet'!$C$4</f>
        <v>45382</v>
      </c>
      <c r="B103" s="18" t="s">
        <v>149</v>
      </c>
      <c r="C103" s="95">
        <f>'Cash Flow'!C5</f>
        <v>3303.36</v>
      </c>
    </row>
    <row r="104" spans="1:3" x14ac:dyDescent="0.3">
      <c r="A104" s="100">
        <f>'Balance Sheet'!$D$4</f>
        <v>45747</v>
      </c>
      <c r="B104" s="18" t="s">
        <v>149</v>
      </c>
      <c r="C104" s="95">
        <f>'Cash Flow'!D5</f>
        <v>1867.8</v>
      </c>
    </row>
    <row r="105" spans="1:3" x14ac:dyDescent="0.3">
      <c r="A105" s="93">
        <f>'Balance Sheet'!$B$4</f>
        <v>45016</v>
      </c>
      <c r="B105" s="18" t="s">
        <v>151</v>
      </c>
      <c r="C105" s="95">
        <f>'Cash Flow'!B6</f>
        <v>-1921.81</v>
      </c>
    </row>
    <row r="106" spans="1:3" x14ac:dyDescent="0.3">
      <c r="A106" s="93">
        <f>'Balance Sheet'!$C$4</f>
        <v>45382</v>
      </c>
      <c r="B106" s="18" t="s">
        <v>151</v>
      </c>
      <c r="C106" s="95">
        <f>'Cash Flow'!C6</f>
        <v>-2380.58</v>
      </c>
    </row>
    <row r="107" spans="1:3" x14ac:dyDescent="0.3">
      <c r="A107" s="100">
        <f>'Balance Sheet'!$D$4</f>
        <v>45747</v>
      </c>
      <c r="B107" s="18" t="s">
        <v>151</v>
      </c>
      <c r="C107" s="95">
        <f>'Cash Flow'!D6</f>
        <v>-2082.23</v>
      </c>
    </row>
    <row r="108" spans="1:3" x14ac:dyDescent="0.3">
      <c r="A108" s="93">
        <f>'Balance Sheet'!$B$4</f>
        <v>45016</v>
      </c>
      <c r="B108" s="18" t="s">
        <v>150</v>
      </c>
      <c r="C108" s="95">
        <f>'Cash Flow'!B7</f>
        <v>-839.54</v>
      </c>
    </row>
    <row r="109" spans="1:3" x14ac:dyDescent="0.3">
      <c r="A109" s="93">
        <f>'Balance Sheet'!$C$4</f>
        <v>45382</v>
      </c>
      <c r="B109" s="18" t="s">
        <v>150</v>
      </c>
      <c r="C109" s="95">
        <f>'Cash Flow'!C7</f>
        <v>-868.22</v>
      </c>
    </row>
    <row r="110" spans="1:3" x14ac:dyDescent="0.3">
      <c r="A110" s="100">
        <f>'Balance Sheet'!$D$4</f>
        <v>45747</v>
      </c>
      <c r="B110" s="18" t="s">
        <v>150</v>
      </c>
      <c r="C110" s="95">
        <f>'Cash Flow'!D7</f>
        <v>282</v>
      </c>
    </row>
    <row r="111" spans="1:3" x14ac:dyDescent="0.3">
      <c r="A111" s="93">
        <f>'Balance Sheet'!$B$4</f>
        <v>45016</v>
      </c>
      <c r="B111" s="18" t="s">
        <v>46</v>
      </c>
      <c r="C111" s="95">
        <f>'Cash Flow'!B8</f>
        <v>-5.88</v>
      </c>
    </row>
    <row r="112" spans="1:3" x14ac:dyDescent="0.3">
      <c r="A112" s="93">
        <f>'Balance Sheet'!$C$4</f>
        <v>45382</v>
      </c>
      <c r="B112" s="18" t="s">
        <v>46</v>
      </c>
      <c r="C112" s="95">
        <f>'Cash Flow'!C8</f>
        <v>54.56</v>
      </c>
    </row>
    <row r="113" spans="1:3" x14ac:dyDescent="0.3">
      <c r="A113" s="100">
        <f>'Balance Sheet'!$D$4</f>
        <v>45747</v>
      </c>
      <c r="B113" s="18" t="s">
        <v>46</v>
      </c>
      <c r="C113" s="95">
        <f>'Cash Flow'!D8</f>
        <v>67.569999999999993</v>
      </c>
    </row>
  </sheetData>
  <mergeCells count="5">
    <mergeCell ref="A23:F23"/>
    <mergeCell ref="A5:C5"/>
    <mergeCell ref="A13:D13"/>
    <mergeCell ref="E5:F5"/>
    <mergeCell ref="A1:K2"/>
  </mergeCells>
  <conditionalFormatting sqref="E36">
    <cfRule type="expression" priority="1" stopIfTrue="1">
      <formula>"&lt;0"</formula>
    </cfRule>
  </conditionalFormatting>
  <pageMargins left="0.7" right="0.7" top="0.75" bottom="0.75" header="0.3" footer="0.3"/>
  <ignoredErrors>
    <ignoredError sqref="C25:E25 C28:C29 D28:E29 B20:D20" formulaRange="1"/>
  </ignoredErrors>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DDE0-6305-4DAA-94E1-4B73382F568B}">
  <dimension ref="A1:F44"/>
  <sheetViews>
    <sheetView workbookViewId="0">
      <selection activeCell="I27" sqref="I27"/>
    </sheetView>
  </sheetViews>
  <sheetFormatPr defaultRowHeight="14.4" x14ac:dyDescent="0.3"/>
  <cols>
    <col min="1" max="1" width="74.44140625" bestFit="1" customWidth="1"/>
    <col min="2" max="2" width="17" bestFit="1" customWidth="1"/>
    <col min="3" max="3" width="17" customWidth="1"/>
    <col min="4" max="5" width="17" bestFit="1" customWidth="1"/>
  </cols>
  <sheetData>
    <row r="1" spans="1:6" x14ac:dyDescent="0.3">
      <c r="A1" s="26" t="s">
        <v>71</v>
      </c>
      <c r="B1" s="27" t="s">
        <v>96</v>
      </c>
      <c r="C1" s="27" t="s">
        <v>116</v>
      </c>
      <c r="D1" s="28" t="s">
        <v>126</v>
      </c>
    </row>
    <row r="2" spans="1:6" ht="16.8" customHeight="1" x14ac:dyDescent="0.3">
      <c r="A2" s="29" t="s">
        <v>127</v>
      </c>
      <c r="B2" s="30" t="s">
        <v>125</v>
      </c>
      <c r="C2" s="30" t="s">
        <v>125</v>
      </c>
      <c r="D2" s="31"/>
    </row>
    <row r="3" spans="1:6" x14ac:dyDescent="0.3">
      <c r="A3" s="32" t="s">
        <v>97</v>
      </c>
      <c r="B3" s="54">
        <v>9414.1200000000008</v>
      </c>
      <c r="C3" s="54">
        <v>11193.96</v>
      </c>
      <c r="D3" s="55">
        <v>12257.95</v>
      </c>
    </row>
    <row r="4" spans="1:6" x14ac:dyDescent="0.3">
      <c r="A4" s="33" t="s">
        <v>98</v>
      </c>
      <c r="B4" s="56">
        <v>3045.22</v>
      </c>
      <c r="C4" s="56">
        <v>2362.5100000000002</v>
      </c>
      <c r="D4" s="57">
        <v>1166.47</v>
      </c>
    </row>
    <row r="5" spans="1:6" x14ac:dyDescent="0.3">
      <c r="A5" s="32" t="s">
        <v>117</v>
      </c>
      <c r="B5" s="54">
        <v>609.98</v>
      </c>
      <c r="C5" s="54">
        <v>758.14</v>
      </c>
      <c r="D5" s="55">
        <v>850.22</v>
      </c>
    </row>
    <row r="6" spans="1:6" x14ac:dyDescent="0.3">
      <c r="A6" s="33" t="s">
        <v>118</v>
      </c>
      <c r="B6" s="56">
        <v>25.94</v>
      </c>
      <c r="C6" s="56">
        <v>25.12</v>
      </c>
      <c r="D6" s="57">
        <v>20.56</v>
      </c>
    </row>
    <row r="7" spans="1:6" x14ac:dyDescent="0.3">
      <c r="A7" s="32" t="s">
        <v>99</v>
      </c>
      <c r="B7" s="54">
        <v>1130.92</v>
      </c>
      <c r="C7" s="54">
        <v>1141.6400000000001</v>
      </c>
      <c r="D7" s="55">
        <v>1155.67</v>
      </c>
      <c r="F7" s="3"/>
    </row>
    <row r="8" spans="1:6" x14ac:dyDescent="0.3">
      <c r="A8" s="33" t="s">
        <v>100</v>
      </c>
      <c r="B8" s="56">
        <v>1.19</v>
      </c>
      <c r="C8" s="56">
        <v>4.09</v>
      </c>
      <c r="D8" s="57">
        <v>7.61</v>
      </c>
    </row>
    <row r="9" spans="1:6" x14ac:dyDescent="0.3">
      <c r="A9" s="32" t="s">
        <v>101</v>
      </c>
      <c r="B9" s="54">
        <v>24.08</v>
      </c>
      <c r="C9" s="54">
        <v>25.8</v>
      </c>
      <c r="D9" s="55">
        <v>28.71</v>
      </c>
    </row>
    <row r="10" spans="1:6" x14ac:dyDescent="0.3">
      <c r="A10" s="33" t="s">
        <v>102</v>
      </c>
      <c r="B10" s="56">
        <v>263.24</v>
      </c>
      <c r="C10" s="56">
        <v>343.54</v>
      </c>
      <c r="D10" s="57">
        <v>329.29</v>
      </c>
    </row>
    <row r="11" spans="1:6" x14ac:dyDescent="0.3">
      <c r="A11" s="32" t="s">
        <v>119</v>
      </c>
      <c r="B11" s="54">
        <v>550.41</v>
      </c>
      <c r="C11" s="54">
        <v>358.16</v>
      </c>
      <c r="D11" s="55">
        <v>264.82</v>
      </c>
    </row>
    <row r="12" spans="1:6" x14ac:dyDescent="0.3">
      <c r="A12" s="34" t="s">
        <v>128</v>
      </c>
      <c r="B12" s="43"/>
      <c r="C12" s="43"/>
      <c r="D12" s="44"/>
    </row>
    <row r="13" spans="1:6" x14ac:dyDescent="0.3">
      <c r="A13" s="32" t="s">
        <v>103</v>
      </c>
      <c r="B13" s="54">
        <v>4042.68</v>
      </c>
      <c r="C13" s="54">
        <v>4360.72</v>
      </c>
      <c r="D13" s="55">
        <v>5539.34</v>
      </c>
    </row>
    <row r="14" spans="1:6" x14ac:dyDescent="0.3">
      <c r="A14" s="33" t="s">
        <v>120</v>
      </c>
      <c r="B14" s="56">
        <v>1974.84</v>
      </c>
      <c r="C14" s="56">
        <v>2261.98</v>
      </c>
      <c r="D14" s="57">
        <v>3403.33</v>
      </c>
    </row>
    <row r="15" spans="1:6" x14ac:dyDescent="0.3">
      <c r="A15" s="32" t="s">
        <v>104</v>
      </c>
      <c r="B15" s="54">
        <v>2442.36</v>
      </c>
      <c r="C15" s="54">
        <v>2841.86</v>
      </c>
      <c r="D15" s="55">
        <v>3302.13</v>
      </c>
    </row>
    <row r="16" spans="1:6" x14ac:dyDescent="0.3">
      <c r="A16" s="33" t="s">
        <v>105</v>
      </c>
      <c r="B16" s="56">
        <v>146.31</v>
      </c>
      <c r="C16" s="56">
        <v>235.55</v>
      </c>
      <c r="D16" s="57">
        <v>243.61</v>
      </c>
    </row>
    <row r="17" spans="1:6" x14ac:dyDescent="0.3">
      <c r="A17" s="32" t="s">
        <v>106</v>
      </c>
      <c r="B17" s="54">
        <v>9.98</v>
      </c>
      <c r="C17" s="54">
        <v>4.79</v>
      </c>
      <c r="D17" s="55">
        <v>5.85</v>
      </c>
      <c r="F17" s="53"/>
    </row>
    <row r="18" spans="1:6" x14ac:dyDescent="0.3">
      <c r="A18" s="33" t="s">
        <v>100</v>
      </c>
      <c r="B18" s="56">
        <v>2.95</v>
      </c>
      <c r="C18" s="56">
        <v>5.8</v>
      </c>
      <c r="D18" s="57">
        <v>4.99</v>
      </c>
    </row>
    <row r="19" spans="1:6" x14ac:dyDescent="0.3">
      <c r="A19" s="32" t="s">
        <v>101</v>
      </c>
      <c r="B19" s="54">
        <v>101.15</v>
      </c>
      <c r="C19" s="54">
        <v>187.55</v>
      </c>
      <c r="D19" s="55">
        <v>191.2</v>
      </c>
    </row>
    <row r="20" spans="1:6" x14ac:dyDescent="0.3">
      <c r="A20" s="33" t="s">
        <v>107</v>
      </c>
      <c r="B20" s="56">
        <v>238.38</v>
      </c>
      <c r="C20" s="56">
        <v>303.58</v>
      </c>
      <c r="D20" s="57">
        <v>324.35000000000002</v>
      </c>
    </row>
    <row r="21" spans="1:6" s="4" customFormat="1" x14ac:dyDescent="0.3">
      <c r="A21" s="35" t="s">
        <v>108</v>
      </c>
      <c r="B21" s="58">
        <v>24023.75</v>
      </c>
      <c r="C21" s="58">
        <v>26414.79</v>
      </c>
      <c r="D21" s="59">
        <v>29096.1</v>
      </c>
    </row>
    <row r="22" spans="1:6" s="4" customFormat="1" x14ac:dyDescent="0.3">
      <c r="A22" s="34"/>
      <c r="B22" s="47"/>
      <c r="C22" s="47"/>
      <c r="D22" s="48"/>
    </row>
    <row r="23" spans="1:6" s="4" customFormat="1" x14ac:dyDescent="0.3">
      <c r="A23" s="36" t="s">
        <v>72</v>
      </c>
      <c r="B23" s="45"/>
      <c r="C23" s="45"/>
      <c r="D23" s="46"/>
    </row>
    <row r="24" spans="1:6" x14ac:dyDescent="0.3">
      <c r="A24" s="33" t="s">
        <v>121</v>
      </c>
      <c r="B24" s="60">
        <v>4.24</v>
      </c>
      <c r="C24" s="60">
        <v>4.24</v>
      </c>
      <c r="D24" s="61">
        <v>4.24</v>
      </c>
    </row>
    <row r="25" spans="1:6" x14ac:dyDescent="0.3">
      <c r="A25" s="32" t="s">
        <v>109</v>
      </c>
      <c r="B25" s="62">
        <v>14504.63</v>
      </c>
      <c r="C25" s="62">
        <v>16436.41</v>
      </c>
      <c r="D25" s="63">
        <v>18171.63</v>
      </c>
    </row>
    <row r="26" spans="1:6" x14ac:dyDescent="0.3">
      <c r="A26" s="33" t="s">
        <v>88</v>
      </c>
      <c r="B26" s="60">
        <v>14508.87</v>
      </c>
      <c r="C26" s="60">
        <v>16440.650000000001</v>
      </c>
      <c r="D26" s="61">
        <v>18175.87</v>
      </c>
    </row>
    <row r="27" spans="1:6" x14ac:dyDescent="0.3">
      <c r="A27" s="36" t="s">
        <v>130</v>
      </c>
      <c r="B27" s="51"/>
      <c r="C27" s="51"/>
      <c r="D27" s="52"/>
    </row>
    <row r="28" spans="1:6" x14ac:dyDescent="0.3">
      <c r="A28" s="34" t="s">
        <v>129</v>
      </c>
      <c r="B28" s="49"/>
      <c r="C28" s="49"/>
      <c r="D28" s="50"/>
    </row>
    <row r="29" spans="1:6" x14ac:dyDescent="0.3">
      <c r="A29" s="37" t="s">
        <v>29</v>
      </c>
      <c r="B29" s="54">
        <v>823.58</v>
      </c>
      <c r="C29" s="54">
        <v>724.11</v>
      </c>
      <c r="D29" s="55">
        <v>374.43</v>
      </c>
    </row>
    <row r="30" spans="1:6" x14ac:dyDescent="0.3">
      <c r="A30" s="33" t="s">
        <v>131</v>
      </c>
      <c r="B30" s="56">
        <v>508.62</v>
      </c>
      <c r="C30" s="56">
        <v>655.19000000000005</v>
      </c>
      <c r="D30" s="57">
        <v>755.31</v>
      </c>
    </row>
    <row r="31" spans="1:6" x14ac:dyDescent="0.3">
      <c r="A31" s="32" t="s">
        <v>111</v>
      </c>
      <c r="B31" s="54">
        <v>215.02</v>
      </c>
      <c r="C31" s="54">
        <v>259.45</v>
      </c>
      <c r="D31" s="55">
        <v>284.88</v>
      </c>
    </row>
    <row r="32" spans="1:6" x14ac:dyDescent="0.3">
      <c r="A32" s="33" t="s">
        <v>112</v>
      </c>
      <c r="B32" s="56">
        <v>381.67</v>
      </c>
      <c r="C32" s="56">
        <v>457.84</v>
      </c>
      <c r="D32" s="57">
        <v>456.5</v>
      </c>
    </row>
    <row r="33" spans="1:4" x14ac:dyDescent="0.3">
      <c r="A33" s="32" t="s">
        <v>122</v>
      </c>
      <c r="B33" s="54">
        <v>234.79</v>
      </c>
      <c r="C33" s="54">
        <v>336.55</v>
      </c>
      <c r="D33" s="55">
        <v>242.6</v>
      </c>
    </row>
    <row r="34" spans="1:4" x14ac:dyDescent="0.3">
      <c r="A34" s="34" t="s">
        <v>132</v>
      </c>
      <c r="B34" s="43"/>
      <c r="C34" s="43"/>
      <c r="D34" s="44"/>
    </row>
    <row r="35" spans="1:4" x14ac:dyDescent="0.3">
      <c r="A35" s="32" t="s">
        <v>29</v>
      </c>
      <c r="B35" s="54">
        <v>1153.5</v>
      </c>
      <c r="C35" s="54">
        <v>906.7</v>
      </c>
      <c r="D35" s="55">
        <v>1212.1099999999999</v>
      </c>
    </row>
    <row r="36" spans="1:4" x14ac:dyDescent="0.3">
      <c r="A36" s="33" t="s">
        <v>131</v>
      </c>
      <c r="B36" s="56">
        <v>75.489999999999995</v>
      </c>
      <c r="C36" s="56">
        <v>91.09</v>
      </c>
      <c r="D36" s="57">
        <v>110.84</v>
      </c>
    </row>
    <row r="37" spans="1:4" x14ac:dyDescent="0.3">
      <c r="A37" s="32" t="s">
        <v>133</v>
      </c>
      <c r="B37" s="41" t="s">
        <v>125</v>
      </c>
      <c r="C37" s="41" t="s">
        <v>125</v>
      </c>
      <c r="D37" s="42" t="s">
        <v>125</v>
      </c>
    </row>
    <row r="38" spans="1:4" x14ac:dyDescent="0.3">
      <c r="A38" s="38" t="s">
        <v>123</v>
      </c>
      <c r="B38" s="56">
        <v>55.95</v>
      </c>
      <c r="C38" s="56">
        <v>32.770000000000003</v>
      </c>
      <c r="D38" s="57">
        <v>28.55</v>
      </c>
    </row>
    <row r="39" spans="1:4" x14ac:dyDescent="0.3">
      <c r="A39" s="39" t="s">
        <v>113</v>
      </c>
      <c r="B39" s="54">
        <v>2701.5</v>
      </c>
      <c r="C39" s="54">
        <v>2911.64</v>
      </c>
      <c r="D39" s="55">
        <v>3978.19</v>
      </c>
    </row>
    <row r="40" spans="1:4" x14ac:dyDescent="0.3">
      <c r="A40" s="38" t="s">
        <v>110</v>
      </c>
      <c r="B40" s="56">
        <v>722.61</v>
      </c>
      <c r="C40" s="56">
        <v>507.94</v>
      </c>
      <c r="D40" s="57">
        <v>388.32</v>
      </c>
    </row>
    <row r="41" spans="1:4" x14ac:dyDescent="0.3">
      <c r="A41" s="39" t="s">
        <v>114</v>
      </c>
      <c r="B41" s="54">
        <v>2409.21</v>
      </c>
      <c r="C41" s="54">
        <v>2645.07</v>
      </c>
      <c r="D41" s="55">
        <v>2746.5</v>
      </c>
    </row>
    <row r="42" spans="1:4" x14ac:dyDescent="0.3">
      <c r="A42" s="38" t="s">
        <v>111</v>
      </c>
      <c r="B42" s="56">
        <v>232.94</v>
      </c>
      <c r="C42" s="56">
        <v>445.79</v>
      </c>
      <c r="D42" s="57">
        <v>342</v>
      </c>
    </row>
    <row r="43" spans="1:4" x14ac:dyDescent="0.3">
      <c r="A43" s="39" t="s">
        <v>115</v>
      </c>
      <c r="B43" s="54">
        <v>9514.8799999999992</v>
      </c>
      <c r="C43" s="54">
        <v>9974.14</v>
      </c>
      <c r="D43" s="55">
        <v>10920.23</v>
      </c>
    </row>
    <row r="44" spans="1:4" x14ac:dyDescent="0.3">
      <c r="A44" s="40" t="s">
        <v>124</v>
      </c>
      <c r="B44" s="64">
        <v>24023.75</v>
      </c>
      <c r="C44" s="64">
        <v>26414.79</v>
      </c>
      <c r="D44" s="65">
        <v>29096.1</v>
      </c>
    </row>
  </sheetData>
  <phoneticPr fontId="9"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03D4CE-785D-405A-92E4-ED03579584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 SHEET</vt:lpstr>
      <vt:lpstr>Profit and loss</vt:lpstr>
      <vt:lpstr>Balance Sheet</vt:lpstr>
      <vt:lpstr>Cash Flow</vt:lpstr>
      <vt:lpstr>Analysis</vt:lpstr>
      <vt:lpstr>Balance Sheet Detailed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Mayuresh Jadhav</dc:creator>
  <cp:lastModifiedBy>Mayuresh Jadhav</cp:lastModifiedBy>
  <dcterms:created xsi:type="dcterms:W3CDTF">2025-08-23T14:34:48Z</dcterms:created>
  <dcterms:modified xsi:type="dcterms:W3CDTF">2025-11-23T05:50:47Z</dcterms:modified>
</cp:coreProperties>
</file>