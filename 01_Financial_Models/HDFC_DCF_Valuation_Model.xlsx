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 userName="SHARADA JADHAV" algorithmName="SHA-512" hashValue="HOBdG8fQB2tD9j+7fMbUJ/XkjrNzImKal1YqrVUkO27jQEW2eDV4uOZbqla6/z5sEVV3jxl9ZHdB7zJ/9IRS7A==" saltValue="V2zjEMk03IuqliquepIjN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ADA JADHAV\OneDrive\Desktop\"/>
    </mc:Choice>
  </mc:AlternateContent>
  <xr:revisionPtr revIDLastSave="0" documentId="8_{112844D7-3131-496F-A867-946ECD21612D}" xr6:coauthVersionLast="47" xr6:coauthVersionMax="47" xr10:uidLastSave="{00000000-0000-0000-0000-000000000000}"/>
  <bookViews>
    <workbookView xWindow="-108" yWindow="-108" windowWidth="23256" windowHeight="12456" xr2:uid="{BD92DE9E-AE6B-491A-9FDB-BFA1ACB73908}"/>
  </bookViews>
  <sheets>
    <sheet name="Dashboard" sheetId="2" r:id="rId1"/>
    <sheet name="Sensitivity" sheetId="9" r:id="rId2"/>
    <sheet name="DCF" sheetId="8" r:id="rId3"/>
    <sheet name="Project Undertaking" sheetId="7" state="hidden" r:id="rId4"/>
    <sheet name="WACC" sheetId="6" r:id="rId5"/>
    <sheet name="BETA Calculation" sheetId="5" r:id="rId6"/>
    <sheet name="Ratios" sheetId="4" r:id="rId7"/>
    <sheet name="Raw Sheet" sheetId="3" r:id="rId8"/>
  </sheets>
  <definedNames>
    <definedName name="_xlchart.v1.0" hidden="1">DCF!$C$54:$C$57</definedName>
    <definedName name="_xlchart.v1.1" hidden="1">DCF!$D$54:$D$57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1" i="6" l="1"/>
  <c r="G144" i="3"/>
  <c r="H144" i="3"/>
  <c r="I144" i="3"/>
  <c r="F144" i="3"/>
  <c r="G143" i="3"/>
  <c r="H143" i="3"/>
  <c r="I143" i="3"/>
  <c r="F143" i="3"/>
  <c r="E144" i="3"/>
  <c r="L11" i="5"/>
  <c r="L10" i="5"/>
  <c r="I34" i="8"/>
  <c r="M37" i="8"/>
  <c r="X10" i="6"/>
  <c r="Y9" i="6" s="1"/>
  <c r="D11" i="6" s="1"/>
  <c r="X11" i="6"/>
  <c r="X12" i="6"/>
  <c r="X13" i="6"/>
  <c r="X14" i="6"/>
  <c r="X15" i="6"/>
  <c r="X16" i="6"/>
  <c r="X17" i="6"/>
  <c r="X18" i="6"/>
  <c r="X19" i="6"/>
  <c r="X9" i="6"/>
  <c r="M39" i="8" l="1"/>
  <c r="D58" i="8" s="1"/>
  <c r="M38" i="8"/>
  <c r="D54" i="8" s="1"/>
  <c r="D25" i="8"/>
  <c r="D24" i="8"/>
  <c r="D11" i="8"/>
  <c r="D30" i="8" s="1"/>
  <c r="D31" i="8" s="1"/>
  <c r="D32" i="8" s="1"/>
  <c r="D33" i="8" s="1"/>
  <c r="D34" i="8" s="1"/>
  <c r="D35" i="8" s="1"/>
  <c r="E44" i="8" s="1"/>
  <c r="F44" i="8" s="1"/>
  <c r="D26" i="8" l="1"/>
  <c r="D40" i="8"/>
  <c r="E43" i="8"/>
  <c r="F43" i="8" s="1"/>
  <c r="E42" i="8"/>
  <c r="F42" i="8" s="1"/>
  <c r="E41" i="8"/>
  <c r="F41" i="8" s="1"/>
  <c r="E40" i="8"/>
  <c r="F40" i="8" s="1"/>
  <c r="N152" i="3"/>
  <c r="M152" i="3"/>
  <c r="D156" i="3"/>
  <c r="C156" i="3"/>
  <c r="C155" i="3"/>
  <c r="C154" i="3"/>
  <c r="C153" i="3"/>
  <c r="C152" i="3"/>
  <c r="E39" i="7"/>
  <c r="E38" i="7"/>
  <c r="E42" i="7"/>
  <c r="E41" i="7"/>
  <c r="E40" i="7"/>
  <c r="D24" i="6"/>
  <c r="D23" i="6"/>
  <c r="D22" i="6"/>
  <c r="D19" i="6"/>
  <c r="D20" i="6" s="1"/>
  <c r="D12" i="6"/>
  <c r="H34" i="4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1" i="5"/>
  <c r="E8" i="4"/>
  <c r="N154" i="3" s="1"/>
  <c r="F8" i="4"/>
  <c r="G8" i="4"/>
  <c r="H8" i="4"/>
  <c r="D8" i="4"/>
  <c r="M154" i="3" s="1"/>
  <c r="D31" i="4"/>
  <c r="E31" i="4"/>
  <c r="F31" i="4"/>
  <c r="G31" i="4"/>
  <c r="H31" i="4"/>
  <c r="C31" i="4"/>
  <c r="D28" i="4"/>
  <c r="E28" i="4"/>
  <c r="F28" i="4"/>
  <c r="G28" i="4"/>
  <c r="H28" i="4"/>
  <c r="D29" i="4"/>
  <c r="E29" i="4"/>
  <c r="F29" i="4"/>
  <c r="G29" i="4"/>
  <c r="H29" i="4"/>
  <c r="C29" i="4"/>
  <c r="C28" i="4"/>
  <c r="E25" i="4"/>
  <c r="F25" i="4"/>
  <c r="G25" i="4"/>
  <c r="H25" i="4"/>
  <c r="D25" i="4"/>
  <c r="F138" i="3"/>
  <c r="E24" i="4" s="1"/>
  <c r="G138" i="3"/>
  <c r="F24" i="4" s="1"/>
  <c r="H138" i="3"/>
  <c r="G24" i="4" s="1"/>
  <c r="I138" i="3"/>
  <c r="H24" i="4" s="1"/>
  <c r="E138" i="3"/>
  <c r="D24" i="4" s="1"/>
  <c r="D23" i="4"/>
  <c r="E152" i="3" s="1"/>
  <c r="E23" i="4"/>
  <c r="F23" i="4"/>
  <c r="G23" i="4"/>
  <c r="H23" i="4"/>
  <c r="C23" i="4"/>
  <c r="D17" i="4"/>
  <c r="E17" i="4"/>
  <c r="F17" i="4"/>
  <c r="G17" i="4"/>
  <c r="H17" i="4"/>
  <c r="D18" i="4"/>
  <c r="E18" i="4"/>
  <c r="F18" i="4"/>
  <c r="G18" i="4"/>
  <c r="H18" i="4"/>
  <c r="D19" i="4"/>
  <c r="E19" i="4"/>
  <c r="F19" i="4"/>
  <c r="G19" i="4"/>
  <c r="H19" i="4"/>
  <c r="D20" i="4"/>
  <c r="L152" i="3" s="1"/>
  <c r="E20" i="4"/>
  <c r="F20" i="4"/>
  <c r="G20" i="4"/>
  <c r="H20" i="4"/>
  <c r="C20" i="4"/>
  <c r="C19" i="4"/>
  <c r="C18" i="4"/>
  <c r="C17" i="4"/>
  <c r="E14" i="4"/>
  <c r="F14" i="4"/>
  <c r="G14" i="4"/>
  <c r="H14" i="4"/>
  <c r="D14" i="4"/>
  <c r="E13" i="4"/>
  <c r="F13" i="4"/>
  <c r="G13" i="4"/>
  <c r="H13" i="4"/>
  <c r="D13" i="4"/>
  <c r="D10" i="4"/>
  <c r="E10" i="4"/>
  <c r="F10" i="4"/>
  <c r="G10" i="4"/>
  <c r="H10" i="4"/>
  <c r="D11" i="4"/>
  <c r="G152" i="3" s="1"/>
  <c r="E11" i="4"/>
  <c r="F11" i="4"/>
  <c r="G11" i="4"/>
  <c r="H11" i="4"/>
  <c r="D12" i="4"/>
  <c r="H152" i="3" s="1"/>
  <c r="E12" i="4"/>
  <c r="F12" i="4"/>
  <c r="G12" i="4"/>
  <c r="H12" i="4"/>
  <c r="C12" i="4"/>
  <c r="C11" i="4"/>
  <c r="C10" i="4"/>
  <c r="M153" i="3" l="1"/>
  <c r="H153" i="3"/>
  <c r="J155" i="3"/>
  <c r="N156" i="3"/>
  <c r="F156" i="3"/>
  <c r="I154" i="3"/>
  <c r="E156" i="3"/>
  <c r="J154" i="3"/>
  <c r="E155" i="3"/>
  <c r="J153" i="3"/>
  <c r="G156" i="3"/>
  <c r="E154" i="3"/>
  <c r="N155" i="3"/>
  <c r="D152" i="3"/>
  <c r="G155" i="3"/>
  <c r="E153" i="3"/>
  <c r="L156" i="3"/>
  <c r="D153" i="3"/>
  <c r="G154" i="3"/>
  <c r="I152" i="3"/>
  <c r="L155" i="3"/>
  <c r="N153" i="3"/>
  <c r="D154" i="3"/>
  <c r="G153" i="3"/>
  <c r="I156" i="3"/>
  <c r="L154" i="3"/>
  <c r="D155" i="3"/>
  <c r="F152" i="3"/>
  <c r="I155" i="3"/>
  <c r="L153" i="3"/>
  <c r="H156" i="3"/>
  <c r="F155" i="3"/>
  <c r="I153" i="3"/>
  <c r="M156" i="3"/>
  <c r="H155" i="3"/>
  <c r="F154" i="3"/>
  <c r="J152" i="3"/>
  <c r="M155" i="3"/>
  <c r="H154" i="3"/>
  <c r="F153" i="3"/>
  <c r="J156" i="3"/>
  <c r="G40" i="8"/>
  <c r="D41" i="8" s="1"/>
  <c r="J23" i="7"/>
  <c r="F30" i="4"/>
  <c r="L12" i="5"/>
  <c r="D17" i="6" s="1"/>
  <c r="D18" i="6" s="1"/>
  <c r="E30" i="4"/>
  <c r="G30" i="4"/>
  <c r="D30" i="4"/>
  <c r="H30" i="4"/>
  <c r="D27" i="6" l="1"/>
  <c r="M35" i="8"/>
  <c r="H40" i="8" s="1"/>
  <c r="I40" i="8" s="1"/>
  <c r="G41" i="8"/>
  <c r="D42" i="8" s="1"/>
  <c r="H42" i="8" l="1"/>
  <c r="I42" i="8" s="1"/>
  <c r="H41" i="8"/>
  <c r="I41" i="8" s="1"/>
  <c r="J19" i="7"/>
  <c r="J27" i="7" s="1"/>
  <c r="M36" i="8"/>
  <c r="G42" i="8"/>
  <c r="D43" i="8" s="1"/>
  <c r="H43" i="8" s="1"/>
  <c r="J42" i="8" l="1"/>
  <c r="J41" i="8"/>
  <c r="J40" i="8"/>
  <c r="G43" i="8"/>
  <c r="D44" i="8" s="1"/>
  <c r="H44" i="8" s="1"/>
  <c r="I43" i="8"/>
  <c r="J43" i="8" s="1"/>
  <c r="G44" i="8" l="1"/>
  <c r="I44" i="8"/>
  <c r="D48" i="8" s="1"/>
  <c r="J44" i="8" l="1"/>
  <c r="D55" i="8" s="1"/>
  <c r="D49" i="8"/>
  <c r="D56" i="8" s="1"/>
  <c r="D57" i="8" l="1"/>
  <c r="D59" i="8" s="1"/>
  <c r="V23" i="6" l="1"/>
  <c r="D10" i="9"/>
  <c r="W10" i="2"/>
  <c r="W1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719E24-F574-45C2-A45A-2599D475C9D8}" keepAlive="1" name="Query - 2024-25 HDFC CF" description="Connection to the '2024-25 HDFC CF' query in the workbook." type="5" refreshedVersion="8" background="1" saveData="1">
    <dbPr connection="Provider=Microsoft.Mashup.OleDb.1;Data Source=$Workbook$;Location=&quot;2024-25 HDFC CF&quot;;Extended Properties=&quot;&quot;" command="SELECT * FROM [2024-25 HDFC CF]"/>
  </connection>
</connections>
</file>

<file path=xl/sharedStrings.xml><?xml version="1.0" encoding="utf-8"?>
<sst xmlns="http://schemas.openxmlformats.org/spreadsheetml/2006/main" count="348" uniqueCount="310">
  <si>
    <t>DPS</t>
  </si>
  <si>
    <t>Announcement date</t>
  </si>
  <si>
    <t>Fiscal year: March</t>
  </si>
  <si>
    <t>Profit before income tax</t>
  </si>
  <si>
    <t>Depreciation on fixed assets</t>
  </si>
  <si>
    <t>(Profit)/loss on revaluation of investments</t>
  </si>
  <si>
    <t>Amortisation of premium/(discount) on investments</t>
  </si>
  <si>
    <t>Profit on sale of fixed assets</t>
  </si>
  <si>
    <t>(Profit)/loss on sale of investment in subsidiary</t>
  </si>
  <si>
    <t>Provision/charge for non-performing assets</t>
  </si>
  <si>
    <t>Floating provisions</t>
  </si>
  <si>
    <t>Provision/(write-back) for standard assets &amp; contingencies</t>
  </si>
  <si>
    <t>Dividend from subsidiaries</t>
  </si>
  <si>
    <t>Employee stock options/units expense</t>
  </si>
  <si>
    <t>Subtotal Operating Adjustments (A1)</t>
  </si>
  <si>
    <t>(Increase)/decrease in investments</t>
  </si>
  <si>
    <t>(Increase)/decrease in advances</t>
  </si>
  <si>
    <t>Increase/(decrease) in deposits</t>
  </si>
  <si>
    <t>(Increase)/decrease in other assets</t>
  </si>
  <si>
    <t>Increase/(decrease) in other liabilities &amp; provisions</t>
  </si>
  <si>
    <t>Net working capital adjustment (A2)</t>
  </si>
  <si>
    <t>Direct taxes paid (net)</t>
  </si>
  <si>
    <t>Net cash from/(used in) operating activities (A)</t>
  </si>
  <si>
    <t>Purchase of fixed assets</t>
  </si>
  <si>
    <t>Proceeds from sale of fixed assets</t>
  </si>
  <si>
    <t>Investment in subsidiaries</t>
  </si>
  <si>
    <t>Proceeds from sale of investment in subsidiary (net)</t>
  </si>
  <si>
    <t>Net cash from/(used in) investing activities (B)</t>
  </si>
  <si>
    <t>Proceeds from exercise of convertible equity warrants</t>
  </si>
  <si>
    <t>Proceeds from issue of share capital other than warrants</t>
  </si>
  <si>
    <t>Increase/(decrease) in other borrowings</t>
  </si>
  <si>
    <t>Dividend paid during the year</t>
  </si>
  <si>
    <t>Net cash from/(used in) financing activities (C)</t>
  </si>
  <si>
    <t>Effect of exchange fluctuation</t>
  </si>
  <si>
    <t>Net increase in cash &amp; cash equivalents</t>
  </si>
  <si>
    <t>Cash &amp; equivalents at beginning of year</t>
  </si>
  <si>
    <t>Cash &amp; equivalents at end of year</t>
  </si>
  <si>
    <t>Cash &amp; equivalents acquired on amalgamation</t>
  </si>
  <si>
    <t>Redemption of Tier 1 &amp; Tier 2 bonds</t>
  </si>
  <si>
    <t>A. Type of Advances</t>
  </si>
  <si>
    <t>Bills purchased and discounted</t>
  </si>
  <si>
    <t>Cash credits/OD/loans repayable on demand</t>
  </si>
  <si>
    <t>Term loans</t>
  </si>
  <si>
    <t>Total Advances (Type)</t>
  </si>
  <si>
    <t>B. Security-wise</t>
  </si>
  <si>
    <t>Secured by tangible assets</t>
  </si>
  <si>
    <t>Covered by bank/government guarantees</t>
  </si>
  <si>
    <t>Unsecured</t>
  </si>
  <si>
    <t>Total Advances (Security)</t>
  </si>
  <si>
    <t>C. Geography-wise (India)</t>
  </si>
  <si>
    <t>Priority sector</t>
  </si>
  <si>
    <t>Public sector</t>
  </si>
  <si>
    <t>Banks</t>
  </si>
  <si>
    <t>Others</t>
  </si>
  <si>
    <t>Total Advances (India)</t>
  </si>
  <si>
    <t>C. Geography-wise (Outside India)</t>
  </si>
  <si>
    <t>Due from banks</t>
  </si>
  <si>
    <t>Syndicated loans</t>
  </si>
  <si>
    <t>Total Advances (Outside India)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</si>
  <si>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</si>
  <si>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</si>
  <si>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</si>
  <si>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</si>
  <si>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</si>
  <si>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</si>
  <si>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</si>
  <si>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</si>
  <si>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</si>
  <si>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</si>
  <si>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</si>
  <si>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</si>
  <si>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</si>
  <si>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</si>
  <si>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</si>
  <si>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</si>
  <si>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</si>
  <si>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</si>
  <si>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</si>
  <si>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</si>
  <si>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</si>
  <si>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</si>
  <si>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</si>
  <si>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</si>
  <si>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</si>
  <si>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</si>
  <si>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</si>
  <si>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</si>
  <si>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Dividend Amount</t>
  </si>
  <si>
    <t>CET1</t>
  </si>
  <si>
    <t>Tier-1</t>
  </si>
  <si>
    <t>Total Risk-Weighted Assets</t>
  </si>
  <si>
    <t>Leverage Ratio</t>
  </si>
  <si>
    <t>NII</t>
  </si>
  <si>
    <t>CASA as % of total deposits</t>
  </si>
  <si>
    <t>Net Interest Margin (NIM)</t>
  </si>
  <si>
    <t>Capital Adequecy Ratio (CAR)</t>
  </si>
  <si>
    <t>Category</t>
  </si>
  <si>
    <t>FY 2024–25</t>
  </si>
  <si>
    <t>FY 2023–24</t>
  </si>
  <si>
    <t>FY 2022–23</t>
  </si>
  <si>
    <t>FY 2021–22</t>
  </si>
  <si>
    <t>FY 2020–21</t>
  </si>
  <si>
    <t>(i) From banks</t>
  </si>
  <si>
    <t>(ii) From others</t>
  </si>
  <si>
    <t>Total Demand Deposits</t>
  </si>
  <si>
    <t>II. Savings bank deposits</t>
  </si>
  <si>
    <t>III. Term deposits</t>
  </si>
  <si>
    <t>Total Term Deposits</t>
  </si>
  <si>
    <t>TOTAL DEPOSITS (A + II + III)</t>
  </si>
  <si>
    <t>II. Deposits of branches outside India</t>
  </si>
  <si>
    <t>I. Demand deposits</t>
  </si>
  <si>
    <t xml:space="preserve">A. </t>
  </si>
  <si>
    <t xml:space="preserve"> I. Deposits of branches in India</t>
  </si>
  <si>
    <t>B.</t>
  </si>
  <si>
    <t>Demand Deposits</t>
  </si>
  <si>
    <t>Advances</t>
  </si>
  <si>
    <t>Dividends</t>
  </si>
  <si>
    <t>Field</t>
  </si>
  <si>
    <t>Value</t>
  </si>
  <si>
    <t>Company</t>
  </si>
  <si>
    <t>HDFC Bank</t>
  </si>
  <si>
    <t>Sector</t>
  </si>
  <si>
    <t>Analysis Period</t>
  </si>
  <si>
    <t>FY 2021–2025</t>
  </si>
  <si>
    <t>Currency</t>
  </si>
  <si>
    <t>₹ Crore</t>
  </si>
  <si>
    <t>HDFC BANK LTD.</t>
  </si>
  <si>
    <t>Balance Sheet</t>
  </si>
  <si>
    <t>Years</t>
  </si>
  <si>
    <t>P/L statement</t>
  </si>
  <si>
    <t>Cash Flows</t>
  </si>
  <si>
    <t>EPS</t>
  </si>
  <si>
    <t>ROA</t>
  </si>
  <si>
    <t>ROE</t>
  </si>
  <si>
    <t>Profitability Ratios</t>
  </si>
  <si>
    <t>Efficiency Ratio</t>
  </si>
  <si>
    <t>Cost/Income Ratio</t>
  </si>
  <si>
    <t>Capital Structure</t>
  </si>
  <si>
    <t>Working Capital (Banking)</t>
  </si>
  <si>
    <t>Total Advances</t>
  </si>
  <si>
    <t>GRAND TOTAL DEPOSITS</t>
  </si>
  <si>
    <t>AD Ratio</t>
  </si>
  <si>
    <t>Cash and balances with Reserve Bank of India</t>
  </si>
  <si>
    <t>Cash to Assets</t>
  </si>
  <si>
    <t>Dividend</t>
  </si>
  <si>
    <t>Dividend Payout %</t>
  </si>
  <si>
    <t>Net Profit</t>
  </si>
  <si>
    <t>Basel III Report</t>
  </si>
  <si>
    <t>Date</t>
  </si>
  <si>
    <t>HDFC Close</t>
  </si>
  <si>
    <t>HDFC Weekly Return</t>
  </si>
  <si>
    <t>Nifty Close</t>
  </si>
  <si>
    <t>Nifty Weekly Return</t>
  </si>
  <si>
    <t>Raw Beta:</t>
  </si>
  <si>
    <t>Unlevered Beta:</t>
  </si>
  <si>
    <t>D/E Ratio</t>
  </si>
  <si>
    <t>Industry D/E</t>
  </si>
  <si>
    <t>HDFC ltd. D/E</t>
  </si>
  <si>
    <t>Item</t>
  </si>
  <si>
    <t>Capital</t>
  </si>
  <si>
    <t>ESOP Outstanding</t>
  </si>
  <si>
    <t>Reserves &amp; Surplus</t>
  </si>
  <si>
    <t>Total Equity</t>
  </si>
  <si>
    <t>Borrowings (Debt)</t>
  </si>
  <si>
    <t>Amount (₹ Crs.)</t>
  </si>
  <si>
    <t>β</t>
  </si>
  <si>
    <r>
      <t>β</t>
    </r>
    <r>
      <rPr>
        <b/>
        <vertAlign val="subscript"/>
        <sz val="11"/>
        <color theme="1"/>
        <rFont val="Calibri"/>
        <family val="2"/>
      </rPr>
      <t>u</t>
    </r>
  </si>
  <si>
    <r>
      <t>β</t>
    </r>
    <r>
      <rPr>
        <b/>
        <vertAlign val="subscript"/>
        <sz val="11"/>
        <color theme="1"/>
        <rFont val="Calibri"/>
        <family val="2"/>
      </rPr>
      <t>l</t>
    </r>
  </si>
  <si>
    <t>Tax rate:</t>
  </si>
  <si>
    <t>Market Inputs</t>
  </si>
  <si>
    <t>Input</t>
  </si>
  <si>
    <t>Source/Note</t>
  </si>
  <si>
    <t>Risk-Free Rate (Rf)</t>
  </si>
  <si>
    <t>India 10-year G-Sec</t>
  </si>
  <si>
    <t>Market Return (Rm)</t>
  </si>
  <si>
    <t>Market Risk Premium (MRP = Rm – Rf)</t>
  </si>
  <si>
    <t>Auto-calc</t>
  </si>
  <si>
    <t>Tax Rate (t)</t>
  </si>
  <si>
    <t>Effective corporate tax</t>
  </si>
  <si>
    <t>A.</t>
  </si>
  <si>
    <t>Source</t>
  </si>
  <si>
    <t>Beta (Levered)</t>
  </si>
  <si>
    <t>From Beta sheet</t>
  </si>
  <si>
    <t>Cost of Equity (Ke)</t>
  </si>
  <si>
    <t>CAPM</t>
  </si>
  <si>
    <t>Cost of Debt (Kd pre-tax)</t>
  </si>
  <si>
    <t>HDFC Bank AT1/Tier2 avg rate</t>
  </si>
  <si>
    <t>Cost of Debt (after-tax)</t>
  </si>
  <si>
    <t>For WACC</t>
  </si>
  <si>
    <t>Market Cap (Equity Value)</t>
  </si>
  <si>
    <t>Current</t>
  </si>
  <si>
    <t>Total Debt (AT1 + Tier 2 + Borrowings)</t>
  </si>
  <si>
    <t>FY25</t>
  </si>
  <si>
    <t>E / (D + E)</t>
  </si>
  <si>
    <t>D / (D + E)</t>
  </si>
  <si>
    <t>HDFC Bank Inputs</t>
  </si>
  <si>
    <t>Nifty50 Market Returns</t>
  </si>
  <si>
    <t>Total Borrowings (₹ Cr)</t>
  </si>
  <si>
    <t>Interest on Borrowings (₹ Cr)</t>
  </si>
  <si>
    <t>Effective Cost of Debt</t>
  </si>
  <si>
    <t>Year</t>
  </si>
  <si>
    <t>C.</t>
  </si>
  <si>
    <t>WACC</t>
  </si>
  <si>
    <t>Equity Weight (We)</t>
  </si>
  <si>
    <t>Debt Weight (Wd)</t>
  </si>
  <si>
    <t>Ke*We + Wd*Kd*(1-t)</t>
  </si>
  <si>
    <t>HDFC Bank plans to undertake a ₹1,200 crore Digital Lending &amp; Analytics Infrastructure Expansion Project over 4 years.</t>
  </si>
  <si>
    <t>The project includes enhancing digital loan origination systems, expanding cloud-based analytics capabilities, fraud detection modernization, and establishing a secondary data center for redundancy.</t>
  </si>
  <si>
    <t>The project is expected to increase digital lending throughput, reduce operational costs, improve turnaround time (TAT), and enhance cross-selling capabilities.</t>
  </si>
  <si>
    <t>1. PROJECT DESCRIPTION</t>
  </si>
  <si>
    <t>Description</t>
  </si>
  <si>
    <t>Cash Flow (₹ crore)</t>
  </si>
  <si>
    <t>Initial Capex (hardware, software licensing, data center build)</t>
  </si>
  <si>
    <t>Additional Capex (cloud migration, AI scoring engine)</t>
  </si>
  <si>
    <t>Operating cost savings (faster processing, automation)</t>
  </si>
  <si>
    <t>Additional digital lending revenues</t>
  </si>
  <si>
    <t>Working capital (increase due to growth)</t>
  </si>
  <si>
    <t>Net CF Year 1</t>
  </si>
  <si>
    <t>Operating cost savings</t>
  </si>
  <si>
    <t>Digital lending uplift</t>
  </si>
  <si>
    <t>Maintenance Capex</t>
  </si>
  <si>
    <t>Net CF Year 2</t>
  </si>
  <si>
    <t>Maintenance + AI model retraining cost</t>
  </si>
  <si>
    <t>Net CF Year 3</t>
  </si>
  <si>
    <t>Regulatory tech upgrade cost</t>
  </si>
  <si>
    <t>Terminal benefit (efficiency + digital franchise value)</t>
  </si>
  <si>
    <t>Net CF Year 4</t>
  </si>
  <si>
    <t>Net CF Year 0</t>
  </si>
  <si>
    <t>NPV of the Project</t>
  </si>
  <si>
    <t>NPV</t>
  </si>
  <si>
    <t>IRR of the Project</t>
  </si>
  <si>
    <t>IRR</t>
  </si>
  <si>
    <t>Profitability Index</t>
  </si>
  <si>
    <t>PI</t>
  </si>
  <si>
    <t>Final Cashflows of the Project</t>
  </si>
  <si>
    <t>Financial Reports</t>
  </si>
  <si>
    <t>Financial Ratios</t>
  </si>
  <si>
    <t>NPV, IRR &amp; PI</t>
  </si>
  <si>
    <t xml:space="preserve"> Beta Calculation</t>
  </si>
  <si>
    <t>BFSI</t>
  </si>
  <si>
    <t>Deposits</t>
  </si>
  <si>
    <t>CASA %</t>
  </si>
  <si>
    <t>NIM</t>
  </si>
  <si>
    <t>Tier 1</t>
  </si>
  <si>
    <t>CAR</t>
  </si>
  <si>
    <t>Notes</t>
  </si>
  <si>
    <t>Base Year PAT (FY25)</t>
  </si>
  <si>
    <t>From P&amp;L</t>
  </si>
  <si>
    <t>Forecast Horizon</t>
  </si>
  <si>
    <t>5 Years</t>
  </si>
  <si>
    <t>FY26–FY30</t>
  </si>
  <si>
    <t>Growth Rate Year 1</t>
  </si>
  <si>
    <t>High growth due to momentum</t>
  </si>
  <si>
    <t>Growth Rate Year 2</t>
  </si>
  <si>
    <t>Slight moderation</t>
  </si>
  <si>
    <t>Growth Rate Year 3</t>
  </si>
  <si>
    <t>Stabilizing</t>
  </si>
  <si>
    <t>Growth Rate Year 4</t>
  </si>
  <si>
    <t>Converging</t>
  </si>
  <si>
    <t>Growth Rate Year 5</t>
  </si>
  <si>
    <t>Long-term steady growth</t>
  </si>
  <si>
    <t>Metric</t>
  </si>
  <si>
    <t>PAT FY21</t>
  </si>
  <si>
    <t>PAT FY25</t>
  </si>
  <si>
    <t>5-Year PAT CAGR</t>
  </si>
  <si>
    <t>PAT (₹ Cr)</t>
  </si>
  <si>
    <t>Growth Rate</t>
  </si>
  <si>
    <t>-</t>
  </si>
  <si>
    <t>Forecast Net Profit (PAT)</t>
  </si>
  <si>
    <t>DCF</t>
  </si>
  <si>
    <t>Opening Book Value</t>
  </si>
  <si>
    <t>PAT</t>
  </si>
  <si>
    <t>Closing Book Value</t>
  </si>
  <si>
    <t>Dividend Payout Ratio</t>
  </si>
  <si>
    <t>Required return</t>
  </si>
  <si>
    <t>Excess return</t>
  </si>
  <si>
    <t>PV of Excess Returns</t>
  </si>
  <si>
    <t>t</t>
  </si>
  <si>
    <t>INPUTS:</t>
  </si>
  <si>
    <t>Shares outstanding</t>
  </si>
  <si>
    <t>Ke</t>
  </si>
  <si>
    <t>g</t>
  </si>
  <si>
    <t>BV(FY25)</t>
  </si>
  <si>
    <t>Forecast Table</t>
  </si>
  <si>
    <t>Terminal Value</t>
  </si>
  <si>
    <t>TV</t>
  </si>
  <si>
    <t>PV of TV</t>
  </si>
  <si>
    <t>Intrinsic Value</t>
  </si>
  <si>
    <t>Amount</t>
  </si>
  <si>
    <t>PV of Terminal Value</t>
  </si>
  <si>
    <t>Intrinsic Equity Value</t>
  </si>
  <si>
    <t>Shares Outstanding</t>
  </si>
  <si>
    <t>Intrinsic Value per Share</t>
  </si>
  <si>
    <t>Yearly Returns</t>
  </si>
  <si>
    <t>DCF Assumptions</t>
  </si>
  <si>
    <t xml:space="preserve">Method used </t>
  </si>
  <si>
    <t xml:space="preserve">Excess Return Model </t>
  </si>
  <si>
    <t>Bank-appropriate DCF</t>
  </si>
  <si>
    <t>Long-term growth (g)</t>
  </si>
  <si>
    <t>Dividend Payout</t>
  </si>
  <si>
    <t>Based on historical average</t>
  </si>
  <si>
    <t>As economy over long-term</t>
  </si>
  <si>
    <t>Market Price</t>
  </si>
  <si>
    <t>Upside Potential</t>
  </si>
  <si>
    <t>In Crs.</t>
  </si>
  <si>
    <t>Relevered Beta:</t>
  </si>
  <si>
    <t>Average Total Borrowings (₹ Cr)</t>
  </si>
  <si>
    <t>Sensitivity Analysis</t>
  </si>
  <si>
    <t>Ke Vs. Terminal Growth(g)</t>
  </si>
  <si>
    <t>Ke Vs.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</si>
</sst>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₹&quot;\ #,##0.00;[Red]&quot;₹&quot;\ \-#,##0.00"/>
    <numFmt numFmtId="43" formatCode="_ * #,##0.00_ ;_ * \-#,##0.00_ ;_ * &quot;-&quot;??_ ;_ @_ "/>
    <numFmt numFmtId="164" formatCode="_ * #,##0.0_ ;_ * \-#,##0.0_ ;_ * &quot;-&quot;??_ ;_ @_ "/>
    <numFmt numFmtId="165" formatCode="0.0000"/>
    <numFmt numFmtId="166" formatCode="[$-14009]dd/mm/yy;@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6" tint="0.79998168889431442"/>
      <name val="Calibri"/>
      <family val="2"/>
      <scheme val="minor"/>
    </font>
    <font>
      <b/>
      <sz val="24"/>
      <color theme="6" tint="0.79998168889431442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6" tint="0.79998168889431442"/>
      <name val="Calibri"/>
      <family val="2"/>
      <scheme val="minor"/>
    </font>
    <font>
      <b/>
      <sz val="48"/>
      <color theme="6" tint="0.79998168889431442"/>
      <name val="Calibri"/>
      <family val="2"/>
    </font>
    <font>
      <sz val="10"/>
      <color theme="1"/>
      <name val="Arial Unicode MS"/>
    </font>
    <font>
      <b/>
      <sz val="2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48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 applyAlignment="1">
      <alignment horizontal="center" vertical="center"/>
    </xf>
    <xf numFmtId="0" fontId="3" fillId="0" borderId="0" xfId="0" applyFont="1"/>
    <xf numFmtId="0" fontId="1" fillId="0" borderId="8" xfId="0" applyFont="1" applyBorder="1"/>
    <xf numFmtId="0" fontId="0" fillId="0" borderId="9" xfId="0" applyBorder="1"/>
    <xf numFmtId="14" fontId="0" fillId="0" borderId="0" xfId="0" applyNumberFormat="1"/>
    <xf numFmtId="0" fontId="0" fillId="0" borderId="1" xfId="0" applyBorder="1"/>
    <xf numFmtId="10" fontId="0" fillId="0" borderId="0" xfId="2" applyNumberFormat="1" applyFont="1"/>
    <xf numFmtId="0" fontId="1" fillId="0" borderId="0" xfId="0" applyFont="1" applyAlignment="1">
      <alignment horizontal="center" vertical="center"/>
    </xf>
    <xf numFmtId="2" fontId="0" fillId="0" borderId="0" xfId="0" applyNumberFormat="1"/>
    <xf numFmtId="0" fontId="0" fillId="0" borderId="5" xfId="0" applyBorder="1"/>
    <xf numFmtId="43" fontId="0" fillId="0" borderId="0" xfId="1" applyFont="1" applyBorder="1"/>
    <xf numFmtId="43" fontId="2" fillId="0" borderId="0" xfId="1" applyFont="1" applyBorder="1"/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16" xfId="0" applyBorder="1" applyAlignment="1">
      <alignment horizontal="right" vertical="center"/>
    </xf>
    <xf numFmtId="4" fontId="0" fillId="0" borderId="16" xfId="0" applyNumberFormat="1" applyBorder="1" applyAlignment="1">
      <alignment horizontal="right" vertical="center"/>
    </xf>
    <xf numFmtId="0" fontId="0" fillId="0" borderId="16" xfId="0" applyBorder="1"/>
    <xf numFmtId="0" fontId="1" fillId="0" borderId="16" xfId="0" applyFont="1" applyBorder="1"/>
    <xf numFmtId="0" fontId="0" fillId="0" borderId="3" xfId="0" applyBorder="1"/>
    <xf numFmtId="0" fontId="1" fillId="0" borderId="17" xfId="0" applyFont="1" applyBorder="1" applyAlignment="1">
      <alignment horizontal="left" vertical="center" indent="1"/>
    </xf>
    <xf numFmtId="0" fontId="0" fillId="0" borderId="17" xfId="0" applyBorder="1" applyAlignment="1">
      <alignment horizontal="left" vertical="center" indent="2"/>
    </xf>
    <xf numFmtId="0" fontId="1" fillId="0" borderId="17" xfId="0" applyFont="1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0" fillId="0" borderId="2" xfId="0" applyBorder="1"/>
    <xf numFmtId="0" fontId="1" fillId="0" borderId="4" xfId="0" applyFont="1" applyBorder="1" applyAlignment="1">
      <alignment vertical="center"/>
    </xf>
    <xf numFmtId="4" fontId="0" fillId="0" borderId="1" xfId="0" applyNumberFormat="1" applyBorder="1" applyAlignment="1">
      <alignment horizontal="right" vertical="center"/>
    </xf>
    <xf numFmtId="4" fontId="0" fillId="0" borderId="5" xfId="0" applyNumberForma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10" fontId="0" fillId="0" borderId="0" xfId="0" applyNumberFormat="1"/>
    <xf numFmtId="4" fontId="0" fillId="0" borderId="0" xfId="0" applyNumberFormat="1"/>
    <xf numFmtId="9" fontId="0" fillId="0" borderId="0" xfId="0" applyNumberFormat="1"/>
    <xf numFmtId="14" fontId="0" fillId="0" borderId="16" xfId="0" applyNumberFormat="1" applyBorder="1"/>
    <xf numFmtId="10" fontId="0" fillId="0" borderId="16" xfId="0" applyNumberFormat="1" applyBorder="1"/>
    <xf numFmtId="4" fontId="0" fillId="0" borderId="16" xfId="0" applyNumberFormat="1" applyBorder="1"/>
    <xf numFmtId="10" fontId="0" fillId="0" borderId="3" xfId="0" applyNumberFormat="1" applyBorder="1"/>
    <xf numFmtId="0" fontId="1" fillId="0" borderId="17" xfId="0" applyFont="1" applyBorder="1"/>
    <xf numFmtId="0" fontId="0" fillId="0" borderId="19" xfId="0" applyBorder="1"/>
    <xf numFmtId="14" fontId="0" fillId="0" borderId="19" xfId="0" applyNumberFormat="1" applyBorder="1"/>
    <xf numFmtId="43" fontId="1" fillId="0" borderId="17" xfId="1" applyFont="1" applyFill="1" applyBorder="1"/>
    <xf numFmtId="10" fontId="0" fillId="0" borderId="19" xfId="0" applyNumberFormat="1" applyBorder="1"/>
    <xf numFmtId="4" fontId="0" fillId="0" borderId="19" xfId="0" applyNumberFormat="1" applyBorder="1"/>
    <xf numFmtId="10" fontId="0" fillId="0" borderId="18" xfId="0" applyNumberFormat="1" applyBorder="1"/>
    <xf numFmtId="10" fontId="0" fillId="0" borderId="20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3" fontId="0" fillId="0" borderId="16" xfId="1" applyFont="1" applyBorder="1"/>
    <xf numFmtId="43" fontId="2" fillId="0" borderId="16" xfId="1" applyFont="1" applyBorder="1"/>
    <xf numFmtId="43" fontId="2" fillId="0" borderId="17" xfId="1" applyFont="1" applyBorder="1" applyAlignment="1">
      <alignment horizontal="left" indent="1"/>
    </xf>
    <xf numFmtId="43" fontId="1" fillId="0" borderId="17" xfId="1" applyFont="1" applyBorder="1"/>
    <xf numFmtId="164" fontId="2" fillId="0" borderId="17" xfId="1" applyNumberFormat="1" applyFont="1" applyBorder="1" applyAlignment="1">
      <alignment horizontal="left" indent="1"/>
    </xf>
    <xf numFmtId="43" fontId="0" fillId="0" borderId="17" xfId="1" applyFont="1" applyBorder="1" applyAlignment="1">
      <alignment horizontal="left" indent="1"/>
    </xf>
    <xf numFmtId="43" fontId="2" fillId="0" borderId="17" xfId="1" applyFont="1" applyBorder="1"/>
    <xf numFmtId="43" fontId="0" fillId="0" borderId="17" xfId="1" applyFont="1" applyBorder="1"/>
    <xf numFmtId="0" fontId="0" fillId="0" borderId="8" xfId="0" applyBorder="1"/>
    <xf numFmtId="0" fontId="1" fillId="0" borderId="16" xfId="0" applyFont="1" applyBorder="1" applyAlignment="1">
      <alignment horizontal="center"/>
    </xf>
    <xf numFmtId="10" fontId="0" fillId="0" borderId="0" xfId="2" applyNumberFormat="1" applyFont="1" applyBorder="1"/>
    <xf numFmtId="10" fontId="0" fillId="0" borderId="19" xfId="2" applyNumberFormat="1" applyFont="1" applyBorder="1"/>
    <xf numFmtId="0" fontId="1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2" fontId="0" fillId="0" borderId="19" xfId="0" applyNumberFormat="1" applyBorder="1"/>
    <xf numFmtId="43" fontId="0" fillId="0" borderId="18" xfId="0" applyNumberFormat="1" applyBorder="1"/>
    <xf numFmtId="43" fontId="0" fillId="0" borderId="20" xfId="0" applyNumberFormat="1" applyBorder="1"/>
    <xf numFmtId="10" fontId="0" fillId="0" borderId="16" xfId="2" applyNumberFormat="1" applyFont="1" applyBorder="1"/>
    <xf numFmtId="2" fontId="0" fillId="0" borderId="16" xfId="0" applyNumberFormat="1" applyBorder="1"/>
    <xf numFmtId="43" fontId="0" fillId="0" borderId="3" xfId="0" applyNumberFormat="1" applyBorder="1"/>
    <xf numFmtId="0" fontId="0" fillId="0" borderId="17" xfId="0" applyBorder="1" applyAlignment="1">
      <alignment horizontal="right"/>
    </xf>
    <xf numFmtId="43" fontId="0" fillId="0" borderId="17" xfId="0" applyNumberFormat="1" applyBorder="1" applyAlignment="1">
      <alignment horizontal="right"/>
    </xf>
    <xf numFmtId="43" fontId="0" fillId="0" borderId="8" xfId="0" applyNumberFormat="1" applyBorder="1" applyAlignment="1">
      <alignment horizontal="right"/>
    </xf>
    <xf numFmtId="0" fontId="1" fillId="0" borderId="16" xfId="0" applyFont="1" applyBorder="1" applyAlignment="1">
      <alignment horizontal="center" wrapText="1"/>
    </xf>
    <xf numFmtId="0" fontId="0" fillId="0" borderId="16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0" fillId="0" borderId="20" xfId="0" applyBorder="1"/>
    <xf numFmtId="166" fontId="5" fillId="0" borderId="7" xfId="0" applyNumberFormat="1" applyFont="1" applyBorder="1" applyAlignment="1">
      <alignment horizontal="center" vertical="top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0" fillId="0" borderId="20" xfId="0" applyNumberFormat="1" applyBorder="1"/>
    <xf numFmtId="2" fontId="0" fillId="0" borderId="7" xfId="0" applyNumberFormat="1" applyBorder="1"/>
    <xf numFmtId="2" fontId="0" fillId="0" borderId="7" xfId="0" applyNumberFormat="1" applyBorder="1" applyAlignment="1">
      <alignment vertical="center" wrapText="1"/>
    </xf>
    <xf numFmtId="0" fontId="5" fillId="0" borderId="0" xfId="0" applyFont="1" applyAlignment="1">
      <alignment horizontal="center" vertical="top"/>
    </xf>
    <xf numFmtId="10" fontId="0" fillId="0" borderId="7" xfId="2" applyNumberFormat="1" applyFont="1" applyBorder="1" applyAlignment="1">
      <alignment vertical="center" wrapText="1"/>
    </xf>
    <xf numFmtId="165" fontId="0" fillId="0" borderId="12" xfId="0" applyNumberFormat="1" applyBorder="1"/>
    <xf numFmtId="0" fontId="1" fillId="0" borderId="10" xfId="0" applyFont="1" applyBorder="1" applyAlignment="1">
      <alignment horizontal="right"/>
    </xf>
    <xf numFmtId="0" fontId="1" fillId="0" borderId="1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3" xfId="0" applyBorder="1" applyAlignment="1">
      <alignment vertical="center"/>
    </xf>
    <xf numFmtId="4" fontId="0" fillId="0" borderId="12" xfId="0" applyNumberFormat="1" applyBorder="1" applyAlignment="1">
      <alignment vertical="center"/>
    </xf>
    <xf numFmtId="4" fontId="0" fillId="0" borderId="19" xfId="0" applyNumberFormat="1" applyBorder="1" applyAlignment="1">
      <alignment vertical="center"/>
    </xf>
    <xf numFmtId="4" fontId="1" fillId="0" borderId="20" xfId="0" applyNumberFormat="1" applyFont="1" applyBorder="1" applyAlignment="1">
      <alignment vertical="center"/>
    </xf>
    <xf numFmtId="4" fontId="1" fillId="0" borderId="12" xfId="0" applyNumberFormat="1" applyFont="1" applyBorder="1" applyAlignment="1">
      <alignment vertical="center"/>
    </xf>
    <xf numFmtId="0" fontId="6" fillId="0" borderId="11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6" fillId="0" borderId="0" xfId="0" applyFont="1" applyAlignment="1">
      <alignment horizontal="right"/>
    </xf>
    <xf numFmtId="165" fontId="0" fillId="0" borderId="19" xfId="2" applyNumberFormat="1" applyFont="1" applyBorder="1"/>
    <xf numFmtId="10" fontId="0" fillId="0" borderId="6" xfId="0" applyNumberFormat="1" applyBorder="1"/>
    <xf numFmtId="0" fontId="1" fillId="0" borderId="4" xfId="0" applyFont="1" applyBorder="1" applyAlignment="1">
      <alignment horizontal="right" vertical="center"/>
    </xf>
    <xf numFmtId="165" fontId="0" fillId="0" borderId="20" xfId="2" applyNumberFormat="1" applyFont="1" applyBorder="1"/>
    <xf numFmtId="10" fontId="0" fillId="0" borderId="0" xfId="0" applyNumberFormat="1" applyAlignment="1">
      <alignment vertical="center"/>
    </xf>
    <xf numFmtId="43" fontId="2" fillId="0" borderId="10" xfId="1" applyFont="1" applyBorder="1"/>
    <xf numFmtId="4" fontId="0" fillId="0" borderId="0" xfId="0" applyNumberForma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0" borderId="16" xfId="0" applyFont="1" applyBorder="1" applyAlignment="1">
      <alignment horizontal="left" vertical="center"/>
    </xf>
    <xf numFmtId="4" fontId="0" fillId="0" borderId="16" xfId="0" applyNumberFormat="1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19" xfId="0" applyBorder="1" applyAlignment="1">
      <alignment vertical="center"/>
    </xf>
    <xf numFmtId="10" fontId="8" fillId="0" borderId="11" xfId="0" applyNumberFormat="1" applyFont="1" applyBorder="1"/>
    <xf numFmtId="0" fontId="0" fillId="0" borderId="12" xfId="0" applyBorder="1" applyAlignment="1">
      <alignment vertical="center"/>
    </xf>
    <xf numFmtId="4" fontId="9" fillId="0" borderId="0" xfId="0" applyNumberFormat="1" applyFont="1"/>
    <xf numFmtId="165" fontId="0" fillId="0" borderId="1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20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right"/>
    </xf>
    <xf numFmtId="2" fontId="1" fillId="0" borderId="19" xfId="0" applyNumberFormat="1" applyFont="1" applyBorder="1" applyAlignment="1">
      <alignment vertical="center"/>
    </xf>
    <xf numFmtId="2" fontId="0" fillId="0" borderId="19" xfId="0" applyNumberFormat="1" applyBorder="1" applyAlignment="1">
      <alignment vertical="center"/>
    </xf>
    <xf numFmtId="2" fontId="1" fillId="0" borderId="20" xfId="0" applyNumberFormat="1" applyFont="1" applyBorder="1" applyAlignment="1">
      <alignment vertical="center"/>
    </xf>
    <xf numFmtId="2" fontId="0" fillId="0" borderId="12" xfId="0" applyNumberFormat="1" applyBorder="1"/>
    <xf numFmtId="10" fontId="1" fillId="0" borderId="6" xfId="2" applyNumberFormat="1" applyFont="1" applyBorder="1"/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/>
    <xf numFmtId="2" fontId="1" fillId="0" borderId="6" xfId="2" applyNumberFormat="1" applyFont="1" applyBorder="1"/>
    <xf numFmtId="10" fontId="1" fillId="0" borderId="6" xfId="0" applyNumberFormat="1" applyFont="1" applyBorder="1"/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applyFont="1" applyAlignment="1">
      <alignment vertical="center" wrapText="1"/>
    </xf>
    <xf numFmtId="10" fontId="14" fillId="0" borderId="0" xfId="2" applyNumberFormat="1" applyFont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9" xfId="0" applyBorder="1" applyAlignment="1">
      <alignment vertical="center" wrapText="1"/>
    </xf>
    <xf numFmtId="9" fontId="0" fillId="0" borderId="19" xfId="0" applyNumberForma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9" fontId="0" fillId="0" borderId="20" xfId="0" applyNumberFormat="1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9" fontId="1" fillId="0" borderId="6" xfId="0" applyNumberFormat="1" applyFont="1" applyBorder="1"/>
    <xf numFmtId="2" fontId="0" fillId="0" borderId="0" xfId="0" applyNumberFormat="1" applyAlignment="1">
      <alignment vertical="center"/>
    </xf>
    <xf numFmtId="2" fontId="0" fillId="0" borderId="18" xfId="0" applyNumberFormat="1" applyBorder="1" applyAlignment="1">
      <alignment vertical="center"/>
    </xf>
    <xf numFmtId="9" fontId="0" fillId="0" borderId="0" xfId="0" applyNumberFormat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2" fontId="0" fillId="0" borderId="16" xfId="0" applyNumberFormat="1" applyBorder="1" applyAlignment="1">
      <alignment vertical="center"/>
    </xf>
    <xf numFmtId="2" fontId="0" fillId="0" borderId="3" xfId="0" applyNumberFormat="1" applyBorder="1" applyAlignment="1">
      <alignment vertical="center"/>
    </xf>
    <xf numFmtId="2" fontId="0" fillId="0" borderId="3" xfId="0" applyNumberFormat="1" applyBorder="1"/>
    <xf numFmtId="2" fontId="0" fillId="0" borderId="2" xfId="0" applyNumberFormat="1" applyBorder="1"/>
    <xf numFmtId="0" fontId="15" fillId="0" borderId="0" xfId="0" applyFont="1"/>
    <xf numFmtId="0" fontId="0" fillId="0" borderId="7" xfId="0" applyBorder="1" applyAlignment="1">
      <alignment horizontal="right"/>
    </xf>
    <xf numFmtId="10" fontId="0" fillId="0" borderId="7" xfId="0" applyNumberFormat="1" applyBorder="1"/>
    <xf numFmtId="0" fontId="0" fillId="0" borderId="7" xfId="0" applyBorder="1"/>
    <xf numFmtId="4" fontId="0" fillId="0" borderId="7" xfId="0" applyNumberFormat="1" applyBorder="1"/>
    <xf numFmtId="0" fontId="0" fillId="0" borderId="7" xfId="0" applyBorder="1" applyAlignment="1">
      <alignment wrapText="1"/>
    </xf>
    <xf numFmtId="4" fontId="0" fillId="0" borderId="19" xfId="0" applyNumberFormat="1" applyBorder="1" applyAlignment="1">
      <alignment vertical="center" wrapText="1"/>
    </xf>
    <xf numFmtId="4" fontId="1" fillId="0" borderId="19" xfId="0" applyNumberFormat="1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2" fontId="1" fillId="0" borderId="6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10" fontId="0" fillId="0" borderId="0" xfId="2" applyNumberFormat="1" applyFont="1" applyBorder="1" applyAlignment="1">
      <alignment vertical="center"/>
    </xf>
    <xf numFmtId="0" fontId="0" fillId="0" borderId="18" xfId="0" applyBorder="1" applyAlignment="1">
      <alignment horizontal="center" vertical="center"/>
    </xf>
    <xf numFmtId="10" fontId="0" fillId="0" borderId="18" xfId="2" applyNumberFormat="1" applyFont="1" applyBorder="1" applyAlignment="1">
      <alignment vertical="center"/>
    </xf>
    <xf numFmtId="4" fontId="0" fillId="0" borderId="3" xfId="0" applyNumberFormat="1" applyBorder="1" applyAlignment="1">
      <alignment vertical="center"/>
    </xf>
    <xf numFmtId="10" fontId="0" fillId="0" borderId="16" xfId="0" applyNumberFormat="1" applyBorder="1" applyAlignment="1">
      <alignment vertical="center"/>
    </xf>
    <xf numFmtId="10" fontId="0" fillId="0" borderId="3" xfId="0" applyNumberFormat="1" applyBorder="1" applyAlignment="1">
      <alignment vertical="center"/>
    </xf>
    <xf numFmtId="10" fontId="0" fillId="0" borderId="16" xfId="2" applyNumberFormat="1" applyFont="1" applyBorder="1" applyAlignment="1">
      <alignment vertical="center"/>
    </xf>
    <xf numFmtId="10" fontId="0" fillId="0" borderId="3" xfId="2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 wrapText="1"/>
    </xf>
    <xf numFmtId="2" fontId="0" fillId="0" borderId="18" xfId="0" applyNumberFormat="1" applyBorder="1"/>
    <xf numFmtId="0" fontId="1" fillId="4" borderId="2" xfId="0" applyFont="1" applyFill="1" applyBorder="1" applyAlignment="1">
      <alignment horizontal="right" vertical="center" wrapText="1"/>
    </xf>
    <xf numFmtId="0" fontId="1" fillId="4" borderId="16" xfId="0" applyFont="1" applyFill="1" applyBorder="1" applyAlignment="1">
      <alignment horizontal="right" vertical="center" wrapText="1"/>
    </xf>
    <xf numFmtId="0" fontId="1" fillId="4" borderId="3" xfId="0" applyFont="1" applyFill="1" applyBorder="1" applyAlignment="1">
      <alignment horizontal="right" vertical="center" wrapText="1"/>
    </xf>
    <xf numFmtId="10" fontId="0" fillId="4" borderId="2" xfId="2" applyNumberFormat="1" applyFont="1" applyFill="1" applyBorder="1" applyAlignment="1">
      <alignment horizontal="right" vertical="center" wrapText="1"/>
    </xf>
    <xf numFmtId="10" fontId="0" fillId="4" borderId="16" xfId="2" applyNumberFormat="1" applyFont="1" applyFill="1" applyBorder="1" applyAlignment="1">
      <alignment horizontal="right" vertical="center" wrapText="1"/>
    </xf>
    <xf numFmtId="10" fontId="0" fillId="4" borderId="3" xfId="2" applyNumberFormat="1" applyFont="1" applyFill="1" applyBorder="1" applyAlignment="1">
      <alignment horizontal="right" vertical="center" wrapText="1"/>
    </xf>
    <xf numFmtId="10" fontId="0" fillId="0" borderId="1" xfId="2" applyNumberFormat="1" applyFont="1" applyBorder="1"/>
    <xf numFmtId="0" fontId="1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0" fillId="0" borderId="16" xfId="0" applyBorder="1" applyAlignment="1">
      <alignment horizontal="left" vertical="center" indent="1"/>
    </xf>
    <xf numFmtId="9" fontId="1" fillId="0" borderId="16" xfId="0" applyNumberFormat="1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0" fontId="1" fillId="0" borderId="16" xfId="0" applyNumberFormat="1" applyFont="1" applyBorder="1" applyAlignment="1">
      <alignment horizontal="center" vertical="center" wrapText="1"/>
    </xf>
    <xf numFmtId="8" fontId="0" fillId="0" borderId="0" xfId="0" applyNumberFormat="1" applyAlignment="1">
      <alignment vertical="center"/>
    </xf>
    <xf numFmtId="0" fontId="1" fillId="0" borderId="8" xfId="0" applyFont="1" applyBorder="1" applyAlignment="1">
      <alignment vertical="center"/>
    </xf>
    <xf numFmtId="10" fontId="0" fillId="0" borderId="20" xfId="2" applyNumberFormat="1" applyFont="1" applyBorder="1"/>
    <xf numFmtId="0" fontId="1" fillId="0" borderId="4" xfId="0" applyFont="1" applyBorder="1" applyAlignment="1">
      <alignment vertical="center" wrapText="1"/>
    </xf>
    <xf numFmtId="10" fontId="14" fillId="0" borderId="1" xfId="2" applyNumberFormat="1" applyFont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3" fontId="0" fillId="0" borderId="19" xfId="0" applyNumberFormat="1" applyBorder="1"/>
    <xf numFmtId="2" fontId="0" fillId="0" borderId="16" xfId="0" applyNumberFormat="1" applyBorder="1" applyAlignment="1">
      <alignment vertical="center" wrapText="1"/>
    </xf>
    <xf numFmtId="2" fontId="0" fillId="0" borderId="3" xfId="0" applyNumberFormat="1" applyBorder="1" applyAlignment="1">
      <alignment vertical="center" wrapText="1"/>
    </xf>
    <xf numFmtId="4" fontId="0" fillId="0" borderId="18" xfId="0" applyNumberFormat="1" applyBorder="1" applyAlignment="1">
      <alignment vertical="center"/>
    </xf>
    <xf numFmtId="2" fontId="1" fillId="0" borderId="6" xfId="0" applyNumberFormat="1" applyFont="1" applyBorder="1"/>
    <xf numFmtId="0" fontId="12" fillId="2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0" fontId="0" fillId="0" borderId="0" xfId="2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18" xfId="2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2" fontId="0" fillId="0" borderId="0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2" fontId="0" fillId="0" borderId="4" xfId="0" applyNumberFormat="1" applyBorder="1"/>
    <xf numFmtId="2" fontId="0" fillId="0" borderId="6" xfId="0" applyNumberFormat="1" applyBorder="1"/>
    <xf numFmtId="10" fontId="1" fillId="0" borderId="1" xfId="0" applyNumberFormat="1" applyFont="1" applyBorder="1"/>
    <xf numFmtId="10" fontId="1" fillId="0" borderId="16" xfId="0" applyNumberFormat="1" applyFont="1" applyBorder="1"/>
    <xf numFmtId="10" fontId="1" fillId="0" borderId="3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baseline="0"/>
              <a:t>Advances vs Deposits: A Year-wise Trend Analysis</a:t>
            </a:r>
            <a:endParaRPr lang="en-IN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'Raw Sheet'!$C$151</c:f>
              <c:strCache>
                <c:ptCount val="1"/>
                <c:pt idx="0">
                  <c:v>Deposits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'Raw Sheet'!$A$152:$A$156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'Raw Sheet'!$C$152:$C$156</c:f>
              <c:numCache>
                <c:formatCode>#,##0.00</c:formatCode>
                <c:ptCount val="5"/>
                <c:pt idx="0">
                  <c:v>1333720.8700000001</c:v>
                </c:pt>
                <c:pt idx="1">
                  <c:v>1558003.03</c:v>
                </c:pt>
                <c:pt idx="2">
                  <c:v>1883394.6462999999</c:v>
                </c:pt>
                <c:pt idx="3">
                  <c:v>2379786.2763999999</c:v>
                </c:pt>
                <c:pt idx="4">
                  <c:v>2714714.8958999999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7-4020-91C9-B436D4F7AD69}"/>
            </c:ext>
          </c:extLst>
        </c:ser>
        <c:ser>
          <c:idx val="2"/>
          <c:order val="2"/>
          <c:tx>
            <c:strRef>
              <c:f>'Raw Sheet'!$D$151</c:f>
              <c:strCache>
                <c:ptCount val="1"/>
                <c:pt idx="0">
                  <c:v>Advances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'Raw Sheet'!$A$152:$A$156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'Raw Sheet'!$D$152:$D$156</c:f>
              <c:numCache>
                <c:formatCode>General</c:formatCode>
                <c:ptCount val="5"/>
                <c:pt idx="0">
                  <c:v>1185283.5</c:v>
                </c:pt>
                <c:pt idx="1">
                  <c:v>1420942.28</c:v>
                </c:pt>
                <c:pt idx="2">
                  <c:v>1661949.29</c:v>
                </c:pt>
                <c:pt idx="3">
                  <c:v>2565891.4</c:v>
                </c:pt>
                <c:pt idx="4">
                  <c:v>2619618.62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47-4020-91C9-B436D4F7A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055136"/>
        <c:axId val="13300388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'Raw Sheet'!$B$151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'Raw Sheet'!$A$152:$A$156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'Raw Sheet'!$B$152:$B$156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247-4020-91C9-B436D4F7AD69}"/>
                  </c:ext>
                </c:extLst>
              </c15:ser>
            </c15:filteredLineSeries>
          </c:ext>
        </c:extLst>
      </c:lineChart>
      <c:catAx>
        <c:axId val="133005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38816"/>
        <c:crosses val="autoZero"/>
        <c:auto val="1"/>
        <c:lblAlgn val="ctr"/>
        <c:lblOffset val="100"/>
        <c:noMultiLvlLbl val="0"/>
      </c:catAx>
      <c:valAx>
        <c:axId val="133003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5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200" b="1" i="0" u="none" strike="noStrike" cap="none" normalizeH="0" baseline="0"/>
              <a:t>Five-Year Trend Analysis: CASA Ratio and NIM</a:t>
            </a:r>
            <a:r>
              <a:rPr lang="en-IN" sz="1200"/>
              <a:t> </a:t>
            </a:r>
          </a:p>
        </c:rich>
      </c:tx>
      <c:layout>
        <c:manualLayout>
          <c:xMode val="edge"/>
          <c:yMode val="edge"/>
          <c:x val="0.2055345581802274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Sheet'!$E$151</c:f>
              <c:strCache>
                <c:ptCount val="1"/>
                <c:pt idx="0">
                  <c:v>CASA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'Raw Sheet'!$A$152:$B$156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'Raw Sheet'!$E$152:$E$156</c:f>
              <c:numCache>
                <c:formatCode>0.00%</c:formatCode>
                <c:ptCount val="5"/>
                <c:pt idx="0">
                  <c:v>0.46100000000000002</c:v>
                </c:pt>
                <c:pt idx="1">
                  <c:v>0.48199999999999998</c:v>
                </c:pt>
                <c:pt idx="2">
                  <c:v>0.44400000000000001</c:v>
                </c:pt>
                <c:pt idx="3">
                  <c:v>0.38200000000000001</c:v>
                </c:pt>
                <c:pt idx="4">
                  <c:v>0.34799999999999998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E-4D23-8ADF-924AB1C8B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642361104"/>
        <c:axId val="642363984"/>
      </c:barChart>
      <c:lineChart>
        <c:grouping val="standard"/>
        <c:varyColors val="0"/>
        <c:ser>
          <c:idx val="1"/>
          <c:order val="1"/>
          <c:tx>
            <c:strRef>
              <c:f>'Raw Sheet'!$F$151</c:f>
              <c:strCache>
                <c:ptCount val="1"/>
                <c:pt idx="0">
                  <c:v>NIM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'Raw Sheet'!$F$152:$F$156</c:f>
              <c:numCache>
                <c:formatCode>0.00%</c:formatCode>
                <c:ptCount val="5"/>
                <c:pt idx="0">
                  <c:v>4.1000000000000002E-2</c:v>
                </c:pt>
                <c:pt idx="1">
                  <c:v>0.04</c:v>
                </c:pt>
                <c:pt idx="2">
                  <c:v>4.1000000000000002E-2</c:v>
                </c:pt>
                <c:pt idx="3">
                  <c:v>3.5299999999999998E-2</c:v>
                </c:pt>
                <c:pt idx="4">
                  <c:v>3.4799999999999998E-2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6E-4D23-8ADF-924AB1C8B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365904"/>
        <c:axId val="642368304"/>
      </c:lineChart>
      <c:dateAx>
        <c:axId val="64236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63984"/>
        <c:crosses val="autoZero"/>
        <c:auto val="0"/>
        <c:lblOffset val="100"/>
        <c:baseTimeUnit val="days"/>
        <c:majorUnit val="1"/>
      </c:dateAx>
      <c:valAx>
        <c:axId val="64236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61104"/>
        <c:crosses val="autoZero"/>
        <c:crossBetween val="between"/>
      </c:valAx>
      <c:valAx>
        <c:axId val="64236830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65904"/>
        <c:crosses val="max"/>
        <c:crossBetween val="between"/>
      </c:valAx>
      <c:catAx>
        <c:axId val="642365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368304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ROA</a:t>
            </a:r>
            <a:r>
              <a:rPr lang="en-IN" sz="1200" baseline="0"/>
              <a:t> &amp; ROE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'Raw Sheet'!$H$151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Sheet'!$A$152:$B$156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'Raw Sheet'!$H$152:$H$156</c:f>
              <c:numCache>
                <c:formatCode>0.00%</c:formatCode>
                <c:ptCount val="5"/>
                <c:pt idx="0">
                  <c:v>0.15540000000000001</c:v>
                </c:pt>
                <c:pt idx="1">
                  <c:v>0.16900000000000001</c:v>
                </c:pt>
                <c:pt idx="2">
                  <c:v>0.17399999999999999</c:v>
                </c:pt>
                <c:pt idx="3">
                  <c:v>0.16089999999999999</c:v>
                </c:pt>
                <c:pt idx="4">
                  <c:v>0.14599999999999999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3-4D4B-8501-32A9DACF3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365424"/>
        <c:axId val="642374544"/>
      </c:lineChart>
      <c:lineChart>
        <c:grouping val="standard"/>
        <c:varyColors val="0"/>
        <c:ser>
          <c:idx val="0"/>
          <c:order val="0"/>
          <c:tx>
            <c:strRef>
              <c:f>'Raw Sheet'!$G$151</c:f>
              <c:strCache>
                <c:ptCount val="1"/>
                <c:pt idx="0">
                  <c:v>ROA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'Raw Sheet'!$A$152:$B$156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'Raw Sheet'!$G$152:$G$156</c:f>
              <c:numCache>
                <c:formatCode>0.00%</c:formatCode>
                <c:ptCount val="5"/>
                <c:pt idx="0">
                  <c:v>1.9699999999999999E-2</c:v>
                </c:pt>
                <c:pt idx="1">
                  <c:v>2.0299999999999999E-2</c:v>
                </c:pt>
                <c:pt idx="2">
                  <c:v>2.07E-2</c:v>
                </c:pt>
                <c:pt idx="3">
                  <c:v>1.9800000000000002E-2</c:v>
                </c:pt>
                <c:pt idx="4">
                  <c:v>1.9099999999999999E-2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83-4D4B-8501-32A9DACF3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383184"/>
        <c:axId val="642362064"/>
      </c:lineChart>
      <c:catAx>
        <c:axId val="64236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74544"/>
        <c:crosses val="autoZero"/>
        <c:auto val="1"/>
        <c:lblAlgn val="ctr"/>
        <c:lblOffset val="100"/>
        <c:noMultiLvlLbl val="0"/>
      </c:catAx>
      <c:valAx>
        <c:axId val="64237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65424"/>
        <c:crosses val="autoZero"/>
        <c:crossBetween val="between"/>
      </c:valAx>
      <c:valAx>
        <c:axId val="64236206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83184"/>
        <c:crosses val="max"/>
        <c:crossBetween val="between"/>
      </c:valAx>
      <c:catAx>
        <c:axId val="642383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362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 Capital Adequecy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Sheet'!$I$151</c:f>
              <c:strCache>
                <c:ptCount val="1"/>
                <c:pt idx="0">
                  <c:v>CET1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Sheet'!$A$152:$B$156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'Raw Sheet'!$I$152:$I$156</c:f>
              <c:numCache>
                <c:formatCode>0.00%</c:formatCode>
                <c:ptCount val="5"/>
                <c:pt idx="0">
                  <c:v>0.16850000000000001</c:v>
                </c:pt>
                <c:pt idx="1">
                  <c:v>0.16669999999999999</c:v>
                </c:pt>
                <c:pt idx="2">
                  <c:v>0.16400000000000001</c:v>
                </c:pt>
                <c:pt idx="3">
                  <c:v>0.16300000000000001</c:v>
                </c:pt>
                <c:pt idx="4">
                  <c:v>0.17230000000000001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5-4943-9D89-CDF5BDB61057}"/>
            </c:ext>
          </c:extLst>
        </c:ser>
        <c:ser>
          <c:idx val="1"/>
          <c:order val="1"/>
          <c:tx>
            <c:strRef>
              <c:f>'Raw Sheet'!$J$151</c:f>
              <c:strCache>
                <c:ptCount val="1"/>
                <c:pt idx="0">
                  <c:v>Tier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'Raw Sheet'!$A$152:$B$156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'Raw Sheet'!$J$152:$J$156</c:f>
              <c:numCache>
                <c:formatCode>0.00%</c:formatCode>
                <c:ptCount val="5"/>
                <c:pt idx="0">
                  <c:v>0.17560000000000001</c:v>
                </c:pt>
                <c:pt idx="1">
                  <c:v>0.1787</c:v>
                </c:pt>
                <c:pt idx="2">
                  <c:v>0.17130000000000001</c:v>
                </c:pt>
                <c:pt idx="3">
                  <c:v>0.16789999999999999</c:v>
                </c:pt>
                <c:pt idx="4">
                  <c:v>0.1769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E5-4943-9D89-CDF5BDB61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070976"/>
        <c:axId val="1330092096"/>
      </c:barChart>
      <c:lineChart>
        <c:grouping val="standard"/>
        <c:varyColors val="0"/>
        <c:ser>
          <c:idx val="2"/>
          <c:order val="2"/>
          <c:tx>
            <c:strRef>
              <c:f>'Raw Sheet'!$K$151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'Raw Sheet'!$K$152:$K$156</c:f>
              <c:numCache>
                <c:formatCode>0.00%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E5-4943-9D89-CDF5BDB61057}"/>
            </c:ext>
          </c:extLst>
        </c:ser>
        <c:ser>
          <c:idx val="3"/>
          <c:order val="3"/>
          <c:tx>
            <c:strRef>
              <c:f>'Raw Sheet'!$L$151</c:f>
              <c:strCache>
                <c:ptCount val="1"/>
                <c:pt idx="0">
                  <c:v>CAR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'Raw Sheet'!$L$152:$L$156</c:f>
              <c:numCache>
                <c:formatCode>0.00%</c:formatCode>
                <c:ptCount val="5"/>
                <c:pt idx="0">
                  <c:v>0.188</c:v>
                </c:pt>
                <c:pt idx="1">
                  <c:v>0.189</c:v>
                </c:pt>
                <c:pt idx="2">
                  <c:v>0.193</c:v>
                </c:pt>
                <c:pt idx="3">
                  <c:v>0.188</c:v>
                </c:pt>
                <c:pt idx="4">
                  <c:v>0.19550000000000001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E5-4943-9D89-CDF5BDB61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0070976"/>
        <c:axId val="1330092096"/>
      </c:lineChart>
      <c:catAx>
        <c:axId val="13300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92096"/>
        <c:crosses val="autoZero"/>
        <c:auto val="1"/>
        <c:lblAlgn val="ctr"/>
        <c:lblOffset val="100"/>
        <c:noMultiLvlLbl val="0"/>
      </c:catAx>
      <c:valAx>
        <c:axId val="133009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7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DPS &amp; EPS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Sheet'!$M$151</c:f>
              <c:strCache>
                <c:ptCount val="1"/>
                <c:pt idx="0">
                  <c:v>DPS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Sheet'!$A$152:$B$156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'Raw Sheet'!$M$152:$M$156</c:f>
              <c:numCache>
                <c:formatCode>0.00</c:formatCode>
                <c:ptCount val="5"/>
                <c:pt idx="0">
                  <c:v>3.25</c:v>
                </c:pt>
                <c:pt idx="1">
                  <c:v>7.75</c:v>
                </c:pt>
                <c:pt idx="2">
                  <c:v>9.5</c:v>
                </c:pt>
                <c:pt idx="3">
                  <c:v>9.75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A-4A3A-9A01-49B70D9CA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2416784"/>
        <c:axId val="642416304"/>
      </c:barChart>
      <c:lineChart>
        <c:grouping val="standard"/>
        <c:varyColors val="0"/>
        <c:ser>
          <c:idx val="1"/>
          <c:order val="1"/>
          <c:tx>
            <c:strRef>
              <c:f>'Raw Sheet'!$N$151</c:f>
              <c:strCache>
                <c:ptCount val="1"/>
                <c:pt idx="0">
                  <c:v>EPS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Sheet'!$A$152:$B$156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'Raw Sheet'!$N$152:$N$156</c:f>
              <c:numCache>
                <c:formatCode>General</c:formatCode>
                <c:ptCount val="5"/>
                <c:pt idx="0">
                  <c:v>56.58</c:v>
                </c:pt>
                <c:pt idx="1">
                  <c:v>66.8</c:v>
                </c:pt>
                <c:pt idx="2">
                  <c:v>79.25</c:v>
                </c:pt>
                <c:pt idx="3">
                  <c:v>85.83</c:v>
                </c:pt>
                <c:pt idx="4">
                  <c:v>88.29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8A-4A3A-9A01-49B70D9CA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400944"/>
        <c:axId val="642411024"/>
      </c:lineChart>
      <c:catAx>
        <c:axId val="64241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16304"/>
        <c:crosses val="autoZero"/>
        <c:auto val="1"/>
        <c:lblAlgn val="ctr"/>
        <c:lblOffset val="100"/>
        <c:noMultiLvlLbl val="0"/>
      </c:catAx>
      <c:valAx>
        <c:axId val="64241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16784"/>
        <c:crosses val="autoZero"/>
        <c:crossBetween val="between"/>
      </c:valAx>
      <c:valAx>
        <c:axId val="642411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00944"/>
        <c:crosses val="max"/>
        <c:crossBetween val="between"/>
      </c:valAx>
      <c:catAx>
        <c:axId val="642400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411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Forecasted</a:t>
            </a:r>
            <a:r>
              <a:rPr lang="en-IN" baseline="0"/>
              <a:t> </a:t>
            </a:r>
            <a:r>
              <a:rPr lang="en-IN"/>
              <a:t>PAT &amp; Excess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DCF!$E$39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DCF!$C$40:$C$44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DCF!$E$40:$E$44</c:f>
              <c:numCache>
                <c:formatCode>0.00</c:formatCode>
                <c:ptCount val="5"/>
                <c:pt idx="0">
                  <c:v>80703.165000000008</c:v>
                </c:pt>
                <c:pt idx="1">
                  <c:v>91194.576450000008</c:v>
                </c:pt>
                <c:pt idx="2">
                  <c:v>102137.92562400002</c:v>
                </c:pt>
                <c:pt idx="3">
                  <c:v>113373.09744264004</c:v>
                </c:pt>
                <c:pt idx="4">
                  <c:v>124710.40718690405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C-4F91-BBD6-F1B5EF829E37}"/>
            </c:ext>
          </c:extLst>
        </c:ser>
        <c:ser>
          <c:idx val="1"/>
          <c:order val="1"/>
          <c:tx>
            <c:strRef>
              <c:f>DCF!$I$39</c:f>
              <c:strCache>
                <c:ptCount val="1"/>
                <c:pt idx="0">
                  <c:v>Excess return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DCF!$C$40:$C$44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DCF!$I$40:$I$44</c:f>
              <c:numCache>
                <c:formatCode>0.00</c:formatCode>
                <c:ptCount val="5"/>
                <c:pt idx="0">
                  <c:v>33618.549299345672</c:v>
                </c:pt>
                <c:pt idx="1">
                  <c:v>37313.821587139653</c:v>
                </c:pt>
                <c:pt idx="2">
                  <c:v>40577.533507846863</c:v>
                </c:pt>
                <c:pt idx="3">
                  <c:v>43211.511602798928</c:v>
                </c:pt>
                <c:pt idx="4">
                  <c:v>45001.496313769327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4C-4F91-BBD6-F1B5EF829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9571888"/>
        <c:axId val="1779560368"/>
      </c:barChart>
      <c:catAx>
        <c:axId val="177957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560368"/>
        <c:crosses val="autoZero"/>
        <c:auto val="1"/>
        <c:lblAlgn val="ctr"/>
        <c:lblOffset val="100"/>
        <c:noMultiLvlLbl val="0"/>
      </c:catAx>
      <c:valAx>
        <c:axId val="177956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57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Excess Returns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D4-4DF5-8C23-29ED04B94F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D4-4DF5-8C23-29ED04B94F30}"/>
              </c:ext>
            </c:extLst>
          </c:dPt>
          <c:cat>
            <c:strRef>
              <c:f>DCF!$C$55:$C$56</c:f>
              <c:strCache>
                <c:ptCount val="2"/>
                <c:pt idx="0">
                  <c:v>PV of Excess Returns</c:v>
                </c:pt>
                <c:pt idx="1">
                  <c:v>PV of Terminal Value</c:v>
                </c:pt>
              </c:strCache>
            </c:strRef>
          </c:cat>
          <c:val>
            <c:numRef>
              <c:f>DCF!$D$55:$D$56</c:f>
              <c:numCache>
                <c:formatCode>#,##0.00</c:formatCode>
                <c:ptCount val="2"/>
                <c:pt idx="0">
                  <c:v>158904.50303458644</c:v>
                </c:pt>
                <c:pt idx="1">
                  <c:v>445454.03507052397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D4-4DF5-8C23-29ED04B94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100"/>
              <a:t>Intrinsic Equity Value Breakdown (DCF – Excess Returns Method)</a:t>
            </a:r>
            <a:endParaRPr lang="en-U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A09DAC62-CE70-446A-8066-F2AE9BAAA648}">
          <cx:dataPt idx="3">
            <cx:spPr>
              <a:solidFill>
                <a:sysClr val="windowText" lastClr="000000">
                  <a:lumMod val="50000"/>
                  <a:lumOff val="50000"/>
                </a:sysClr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6</xdr:row>
      <xdr:rowOff>175260</xdr:rowOff>
    </xdr:from>
    <xdr:to>
      <xdr:col>6</xdr:col>
      <xdr:colOff>236220</xdr:colOff>
      <xdr:row>9</xdr:row>
      <xdr:rowOff>144780</xdr:rowOff>
    </xdr:to>
    <xdr:sp macro="" textlink="WACC!D27">
      <xdr:nvSpPr>
        <xdr:cNvPr id="2" name="TextBox 1">
          <a:extLst>
            <a:ext uri="{FF2B5EF4-FFF2-40B4-BE49-F238E27FC236}">
              <a16:creationId xmlns:a16="http://schemas.microsoft.com/office/drawing/2014/main" id="{EFD25255-8028-4B04-EA2C-704AE15024A2}"/>
            </a:ext>
          </a:extLst>
        </xdr:cNvPr>
        <xdr:cNvSpPr txBox="1"/>
      </xdr:nvSpPr>
      <xdr:spPr>
        <a:xfrm>
          <a:off x="2727960" y="1272540"/>
          <a:ext cx="118872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WACC = </a:t>
          </a:r>
          <a:fld id="{9A27C333-38AF-4EA5-AFBB-DA2927BE5A13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7.73%</a:t>
          </a:fld>
          <a:endParaRPr lang="en-IN" sz="1400"/>
        </a:p>
      </xdr:txBody>
    </xdr:sp>
    <xdr:clientData/>
  </xdr:twoCellAnchor>
  <xdr:twoCellAnchor>
    <xdr:from>
      <xdr:col>6</xdr:col>
      <xdr:colOff>487680</xdr:colOff>
      <xdr:row>6</xdr:row>
      <xdr:rowOff>182880</xdr:rowOff>
    </xdr:from>
    <xdr:to>
      <xdr:col>8</xdr:col>
      <xdr:colOff>457200</xdr:colOff>
      <xdr:row>9</xdr:row>
      <xdr:rowOff>152400</xdr:rowOff>
    </xdr:to>
    <xdr:sp macro="" textlink="'BETA Calculation'!L12">
      <xdr:nvSpPr>
        <xdr:cNvPr id="3" name="TextBox 2">
          <a:extLst>
            <a:ext uri="{FF2B5EF4-FFF2-40B4-BE49-F238E27FC236}">
              <a16:creationId xmlns:a16="http://schemas.microsoft.com/office/drawing/2014/main" id="{6D143EBC-79ED-42AA-9FF5-88ECE00E4904}"/>
            </a:ext>
          </a:extLst>
        </xdr:cNvPr>
        <xdr:cNvSpPr txBox="1"/>
      </xdr:nvSpPr>
      <xdr:spPr>
        <a:xfrm>
          <a:off x="4168140" y="1280160"/>
          <a:ext cx="118872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Beta = </a:t>
          </a:r>
          <a:fld id="{01BA90AF-43FC-49D7-8632-28107FBAFDA5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0.6902</a:t>
          </a:fld>
          <a:endParaRPr lang="en-IN" sz="1400" b="1"/>
        </a:p>
      </xdr:txBody>
    </xdr:sp>
    <xdr:clientData/>
  </xdr:twoCellAnchor>
  <xdr:twoCellAnchor>
    <xdr:from>
      <xdr:col>9</xdr:col>
      <xdr:colOff>60960</xdr:colOff>
      <xdr:row>6</xdr:row>
      <xdr:rowOff>182880</xdr:rowOff>
    </xdr:from>
    <xdr:to>
      <xdr:col>11</xdr:col>
      <xdr:colOff>30480</xdr:colOff>
      <xdr:row>9</xdr:row>
      <xdr:rowOff>152400</xdr:rowOff>
    </xdr:to>
    <xdr:sp macro="" textlink="WACC!D18">
      <xdr:nvSpPr>
        <xdr:cNvPr id="4" name="TextBox 3">
          <a:extLst>
            <a:ext uri="{FF2B5EF4-FFF2-40B4-BE49-F238E27FC236}">
              <a16:creationId xmlns:a16="http://schemas.microsoft.com/office/drawing/2014/main" id="{F151DAB5-94C6-4A90-BEED-9849AF0FD092}"/>
            </a:ext>
          </a:extLst>
        </xdr:cNvPr>
        <xdr:cNvSpPr txBox="1"/>
      </xdr:nvSpPr>
      <xdr:spPr>
        <a:xfrm>
          <a:off x="5570220" y="1280160"/>
          <a:ext cx="118872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Cost of equity (Ke) = </a:t>
          </a:r>
          <a:fld id="{E4F83160-F2FB-4C1C-8F9F-07BB59A6994C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9.46%</a:t>
          </a:fld>
          <a:endParaRPr lang="en-IN" sz="1400" b="1"/>
        </a:p>
      </xdr:txBody>
    </xdr:sp>
    <xdr:clientData/>
  </xdr:twoCellAnchor>
  <xdr:twoCellAnchor>
    <xdr:from>
      <xdr:col>12</xdr:col>
      <xdr:colOff>15240</xdr:colOff>
      <xdr:row>6</xdr:row>
      <xdr:rowOff>182880</xdr:rowOff>
    </xdr:from>
    <xdr:to>
      <xdr:col>16</xdr:col>
      <xdr:colOff>350520</xdr:colOff>
      <xdr:row>9</xdr:row>
      <xdr:rowOff>152400</xdr:rowOff>
    </xdr:to>
    <xdr:sp macro="" textlink="WACC!D20">
      <xdr:nvSpPr>
        <xdr:cNvPr id="5" name="TextBox 4">
          <a:extLst>
            <a:ext uri="{FF2B5EF4-FFF2-40B4-BE49-F238E27FC236}">
              <a16:creationId xmlns:a16="http://schemas.microsoft.com/office/drawing/2014/main" id="{2D217904-8D29-434A-A3A6-FC6F8C757B49}"/>
            </a:ext>
          </a:extLst>
        </xdr:cNvPr>
        <xdr:cNvSpPr txBox="1"/>
      </xdr:nvSpPr>
      <xdr:spPr>
        <a:xfrm>
          <a:off x="6987540" y="1280160"/>
          <a:ext cx="118872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Cost of Debt (Kd) = </a:t>
          </a:r>
          <a:fld id="{30A5710F-62A3-4C35-8DD8-5F405E62614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6.14%</a:t>
          </a:fld>
          <a:endParaRPr lang="en-IN" sz="1600" b="1"/>
        </a:p>
      </xdr:txBody>
    </xdr:sp>
    <xdr:clientData/>
  </xdr:twoCellAnchor>
  <xdr:twoCellAnchor>
    <xdr:from>
      <xdr:col>16</xdr:col>
      <xdr:colOff>571500</xdr:colOff>
      <xdr:row>7</xdr:row>
      <xdr:rowOff>0</xdr:rowOff>
    </xdr:from>
    <xdr:to>
      <xdr:col>18</xdr:col>
      <xdr:colOff>228600</xdr:colOff>
      <xdr:row>9</xdr:row>
      <xdr:rowOff>144780</xdr:rowOff>
    </xdr:to>
    <xdr:sp macro="" textlink="WACC!D21">
      <xdr:nvSpPr>
        <xdr:cNvPr id="6" name="TextBox 5">
          <a:extLst>
            <a:ext uri="{FF2B5EF4-FFF2-40B4-BE49-F238E27FC236}">
              <a16:creationId xmlns:a16="http://schemas.microsoft.com/office/drawing/2014/main" id="{11224236-B9FB-4374-9937-FCDC1F206AE7}"/>
            </a:ext>
          </a:extLst>
        </xdr:cNvPr>
        <xdr:cNvSpPr txBox="1"/>
      </xdr:nvSpPr>
      <xdr:spPr>
        <a:xfrm>
          <a:off x="8397240" y="1287780"/>
          <a:ext cx="1188720" cy="51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212529"/>
              </a:solidFill>
              <a:latin typeface="Calibri"/>
              <a:ea typeface="Calibri"/>
              <a:cs typeface="Calibri"/>
            </a:rPr>
            <a:t>Market Cap.:</a:t>
          </a:r>
        </a:p>
        <a:p>
          <a:pPr algn="ctr"/>
          <a:fld id="{62089730-D374-469C-87D8-75B6D3A26FE6}" type="TxLink">
            <a:rPr lang="en-US" sz="1200" b="1" i="0" u="none" strike="noStrike">
              <a:solidFill>
                <a:srgbClr val="212529"/>
              </a:solidFill>
              <a:latin typeface="Calibri"/>
              <a:ea typeface="Calibri"/>
              <a:cs typeface="Calibri"/>
            </a:rPr>
            <a:pPr algn="ctr"/>
            <a:t>15,48,282.27</a:t>
          </a:fld>
          <a:endParaRPr lang="en-IN" sz="1400" b="1"/>
        </a:p>
      </xdr:txBody>
    </xdr:sp>
    <xdr:clientData/>
  </xdr:twoCellAnchor>
  <xdr:twoCellAnchor>
    <xdr:from>
      <xdr:col>5</xdr:col>
      <xdr:colOff>388620</xdr:colOff>
      <xdr:row>10</xdr:row>
      <xdr:rowOff>152400</xdr:rowOff>
    </xdr:from>
    <xdr:to>
      <xdr:col>7</xdr:col>
      <xdr:colOff>358140</xdr:colOff>
      <xdr:row>13</xdr:row>
      <xdr:rowOff>114300</xdr:rowOff>
    </xdr:to>
    <xdr:sp macro="" textlink="'Raw Sheet'!I117">
      <xdr:nvSpPr>
        <xdr:cNvPr id="7" name="TextBox 6">
          <a:extLst>
            <a:ext uri="{FF2B5EF4-FFF2-40B4-BE49-F238E27FC236}">
              <a16:creationId xmlns:a16="http://schemas.microsoft.com/office/drawing/2014/main" id="{F36AE903-6164-48CB-B014-193F20C1D38F}"/>
            </a:ext>
          </a:extLst>
        </xdr:cNvPr>
        <xdr:cNvSpPr txBox="1"/>
      </xdr:nvSpPr>
      <xdr:spPr>
        <a:xfrm>
          <a:off x="3459480" y="1996440"/>
          <a:ext cx="1188720" cy="51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Deposits(FY25): </a:t>
          </a:r>
          <a:fld id="{D198E19E-6F84-4883-A170-6ECCAF8C7254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27,14,714.90</a:t>
          </a:fld>
          <a:endParaRPr lang="en-IN" sz="1400" b="1"/>
        </a:p>
      </xdr:txBody>
    </xdr:sp>
    <xdr:clientData/>
  </xdr:twoCellAnchor>
  <xdr:twoCellAnchor>
    <xdr:from>
      <xdr:col>8</xdr:col>
      <xdr:colOff>15240</xdr:colOff>
      <xdr:row>10</xdr:row>
      <xdr:rowOff>152400</xdr:rowOff>
    </xdr:from>
    <xdr:to>
      <xdr:col>10</xdr:col>
      <xdr:colOff>30480</xdr:colOff>
      <xdr:row>13</xdr:row>
      <xdr:rowOff>114300</xdr:rowOff>
    </xdr:to>
    <xdr:sp macro="" textlink="'Raw Sheet'!I138">
      <xdr:nvSpPr>
        <xdr:cNvPr id="8" name="TextBox 7">
          <a:extLst>
            <a:ext uri="{FF2B5EF4-FFF2-40B4-BE49-F238E27FC236}">
              <a16:creationId xmlns:a16="http://schemas.microsoft.com/office/drawing/2014/main" id="{6A0FF1E9-4449-41D9-A986-77DBD21DC0A9}"/>
            </a:ext>
          </a:extLst>
        </xdr:cNvPr>
        <xdr:cNvSpPr txBox="1"/>
      </xdr:nvSpPr>
      <xdr:spPr>
        <a:xfrm>
          <a:off x="4914900" y="1996440"/>
          <a:ext cx="1234440" cy="51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Advances(FY25): </a:t>
          </a:r>
          <a:fld id="{C70D7CF9-6753-45FA-8F3E-DD5D33E2A437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2619618.62</a:t>
          </a:fld>
          <a:endParaRPr lang="en-IN" sz="1400" b="1"/>
        </a:p>
      </xdr:txBody>
    </xdr:sp>
    <xdr:clientData/>
  </xdr:twoCellAnchor>
  <xdr:twoCellAnchor>
    <xdr:from>
      <xdr:col>10</xdr:col>
      <xdr:colOff>198120</xdr:colOff>
      <xdr:row>10</xdr:row>
      <xdr:rowOff>137160</xdr:rowOff>
    </xdr:from>
    <xdr:to>
      <xdr:col>14</xdr:col>
      <xdr:colOff>114300</xdr:colOff>
      <xdr:row>13</xdr:row>
      <xdr:rowOff>99060</xdr:rowOff>
    </xdr:to>
    <xdr:sp macro="" textlink="Ratios!H23">
      <xdr:nvSpPr>
        <xdr:cNvPr id="9" name="TextBox 8">
          <a:extLst>
            <a:ext uri="{FF2B5EF4-FFF2-40B4-BE49-F238E27FC236}">
              <a16:creationId xmlns:a16="http://schemas.microsoft.com/office/drawing/2014/main" id="{6C6AD9A6-3E06-4DA6-BE0A-A535F77E7AC7}"/>
            </a:ext>
          </a:extLst>
        </xdr:cNvPr>
        <xdr:cNvSpPr txBox="1"/>
      </xdr:nvSpPr>
      <xdr:spPr>
        <a:xfrm>
          <a:off x="6316980" y="1981200"/>
          <a:ext cx="1188720" cy="51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CASA (FY25):</a:t>
          </a:r>
          <a:r>
            <a:rPr lang="en-US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r>
          <a:fld id="{C6FD99B7-DF09-4218-9890-02BEEFADD91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34.80%</a:t>
          </a:fld>
          <a:endParaRPr lang="en-IN" sz="1400" b="1"/>
        </a:p>
      </xdr:txBody>
    </xdr:sp>
    <xdr:clientData/>
  </xdr:twoCellAnchor>
  <xdr:twoCellAnchor>
    <xdr:from>
      <xdr:col>15</xdr:col>
      <xdr:colOff>121920</xdr:colOff>
      <xdr:row>10</xdr:row>
      <xdr:rowOff>121920</xdr:rowOff>
    </xdr:from>
    <xdr:to>
      <xdr:col>17</xdr:col>
      <xdr:colOff>457200</xdr:colOff>
      <xdr:row>13</xdr:row>
      <xdr:rowOff>83820</xdr:rowOff>
    </xdr:to>
    <xdr:sp macro="" textlink="Ratios!H12">
      <xdr:nvSpPr>
        <xdr:cNvPr id="10" name="TextBox 9">
          <a:extLst>
            <a:ext uri="{FF2B5EF4-FFF2-40B4-BE49-F238E27FC236}">
              <a16:creationId xmlns:a16="http://schemas.microsoft.com/office/drawing/2014/main" id="{171A7E76-BAFD-4736-8A3D-6F30D81E2A1F}"/>
            </a:ext>
          </a:extLst>
        </xdr:cNvPr>
        <xdr:cNvSpPr txBox="1"/>
      </xdr:nvSpPr>
      <xdr:spPr>
        <a:xfrm>
          <a:off x="7703820" y="1965960"/>
          <a:ext cx="1188720" cy="51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ROE (FY25):  </a:t>
          </a:r>
          <a:fld id="{ACD18AC6-31A7-4E6E-9912-B92DF881ABAF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14.60%</a:t>
          </a:fld>
          <a:endParaRPr lang="en-US" sz="14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251460</xdr:colOff>
      <xdr:row>15</xdr:row>
      <xdr:rowOff>83820</xdr:rowOff>
    </xdr:from>
    <xdr:to>
      <xdr:col>7</xdr:col>
      <xdr:colOff>533400</xdr:colOff>
      <xdr:row>30</xdr:row>
      <xdr:rowOff>83820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D1BA2A6-1335-47F4-B7ED-31FB5A680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101023</xdr:colOff>
      <xdr:row>15</xdr:row>
      <xdr:rowOff>79856</xdr:rowOff>
    </xdr:from>
    <xdr:to>
      <xdr:col>18</xdr:col>
      <xdr:colOff>232833</xdr:colOff>
      <xdr:row>30</xdr:row>
      <xdr:rowOff>95442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627072F-788D-42C4-8115-D497E7F6B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31</xdr:row>
      <xdr:rowOff>74083</xdr:rowOff>
    </xdr:from>
    <xdr:to>
      <xdr:col>7</xdr:col>
      <xdr:colOff>548409</xdr:colOff>
      <xdr:row>46</xdr:row>
      <xdr:rowOff>89669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E3AE694-636F-44ED-8F29-56F6D6EFD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97176</xdr:colOff>
      <xdr:row>31</xdr:row>
      <xdr:rowOff>77932</xdr:rowOff>
    </xdr:from>
    <xdr:to>
      <xdr:col>18</xdr:col>
      <xdr:colOff>228986</xdr:colOff>
      <xdr:row>46</xdr:row>
      <xdr:rowOff>91593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D65B2F8-FD07-4336-B95E-840FE756E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52919</xdr:colOff>
      <xdr:row>31</xdr:row>
      <xdr:rowOff>74087</xdr:rowOff>
    </xdr:from>
    <xdr:to>
      <xdr:col>27</xdr:col>
      <xdr:colOff>88518</xdr:colOff>
      <xdr:row>46</xdr:row>
      <xdr:rowOff>89674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CACE1D-D9F0-4535-84AA-9DF284D22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95250</xdr:colOff>
      <xdr:row>0</xdr:row>
      <xdr:rowOff>169334</xdr:rowOff>
    </xdr:from>
    <xdr:to>
      <xdr:col>28</xdr:col>
      <xdr:colOff>126999</xdr:colOff>
      <xdr:row>6</xdr:row>
      <xdr:rowOff>179918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13396E9-98BA-231D-D9D4-368FE98B9E32}"/>
            </a:ext>
          </a:extLst>
        </xdr:cNvPr>
        <xdr:cNvSpPr txBox="1"/>
      </xdr:nvSpPr>
      <xdr:spPr>
        <a:xfrm>
          <a:off x="9969500" y="169334"/>
          <a:ext cx="4942416" cy="10900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/>
            <a:t>DCF valuation indicates that HDFC Bank’s intrinsic value per share stands at ₹1,440.08, supported by stable excess returns and long-term growth of 2.5%. The valuation reflects strong capital efficiency and consistent profitability. </a:t>
          </a:r>
          <a:endParaRPr lang="en-IN" sz="1200"/>
        </a:p>
      </xdr:txBody>
    </xdr:sp>
    <xdr:clientData/>
  </xdr:twoCellAnchor>
  <xdr:twoCellAnchor>
    <xdr:from>
      <xdr:col>23</xdr:col>
      <xdr:colOff>158751</xdr:colOff>
      <xdr:row>7</xdr:row>
      <xdr:rowOff>169332</xdr:rowOff>
    </xdr:from>
    <xdr:to>
      <xdr:col>28</xdr:col>
      <xdr:colOff>296334</xdr:colOff>
      <xdr:row>13</xdr:row>
      <xdr:rowOff>42335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1414794-FE5C-C62C-824F-BDFA29FFF431}"/>
            </a:ext>
          </a:extLst>
        </xdr:cNvPr>
        <xdr:cNvSpPr txBox="1"/>
      </xdr:nvSpPr>
      <xdr:spPr>
        <a:xfrm>
          <a:off x="11874501" y="1439332"/>
          <a:ext cx="3206750" cy="9948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800" b="1"/>
            <a:t>DCF Assumptions</a:t>
          </a:r>
        </a:p>
        <a:p>
          <a:pPr lvl="1" algn="l"/>
          <a:r>
            <a:rPr lang="en-IN" sz="800"/>
            <a:t>Cost of Equity (Ke) = 9.46%</a:t>
          </a:r>
        </a:p>
        <a:p>
          <a:pPr lvl="1" algn="l"/>
          <a:r>
            <a:rPr lang="en-IN" sz="800"/>
            <a:t>WACC = 7.73%</a:t>
          </a:r>
        </a:p>
        <a:p>
          <a:pPr lvl="1" algn="l"/>
          <a:r>
            <a:rPr lang="en-IN" sz="800"/>
            <a:t>Long-term growth (g) = 2.5%</a:t>
          </a:r>
        </a:p>
        <a:p>
          <a:pPr lvl="1" algn="l"/>
          <a:r>
            <a:rPr lang="en-IN" sz="800"/>
            <a:t>PAT Growth (2026–2030) = 14% → 10%</a:t>
          </a:r>
        </a:p>
        <a:p>
          <a:pPr lvl="1" algn="l"/>
          <a:r>
            <a:rPr lang="en-IN" sz="800"/>
            <a:t>Dividend Payout = Based on historical average</a:t>
          </a:r>
        </a:p>
        <a:p>
          <a:pPr lvl="1" algn="l"/>
          <a:r>
            <a:rPr lang="en-IN" sz="800"/>
            <a:t>Method used = </a:t>
          </a:r>
          <a:r>
            <a:rPr lang="en-IN" sz="800" b="1"/>
            <a:t>Excess Return Model (Bank-appropriate DCF)</a:t>
          </a:r>
          <a:endParaRPr lang="en-IN" sz="800"/>
        </a:p>
        <a:p>
          <a:endParaRPr lang="en-IN" sz="900"/>
        </a:p>
      </xdr:txBody>
    </xdr:sp>
    <xdr:clientData/>
  </xdr:twoCellAnchor>
  <xdr:twoCellAnchor>
    <xdr:from>
      <xdr:col>19</xdr:col>
      <xdr:colOff>74084</xdr:colOff>
      <xdr:row>15</xdr:row>
      <xdr:rowOff>74084</xdr:rowOff>
    </xdr:from>
    <xdr:to>
      <xdr:col>27</xdr:col>
      <xdr:colOff>95251</xdr:colOff>
      <xdr:row>30</xdr:row>
      <xdr:rowOff>118534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8A08CFC8-941E-4306-BEB5-69867F6077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0044" y="2855384"/>
              <a:ext cx="4547447" cy="2787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27</xdr:col>
      <xdr:colOff>243417</xdr:colOff>
      <xdr:row>15</xdr:row>
      <xdr:rowOff>84667</xdr:rowOff>
    </xdr:from>
    <xdr:to>
      <xdr:col>34</xdr:col>
      <xdr:colOff>518583</xdr:colOff>
      <xdr:row>30</xdr:row>
      <xdr:rowOff>129117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626E00B-C3AD-4070-87C0-AF8D06AAE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529166</xdr:colOff>
      <xdr:row>4</xdr:row>
      <xdr:rowOff>127000</xdr:rowOff>
    </xdr:from>
    <xdr:to>
      <xdr:col>34</xdr:col>
      <xdr:colOff>77046</xdr:colOff>
      <xdr:row>13</xdr:row>
      <xdr:rowOff>20744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10FA563-2AB9-4DB6-B3B8-CC51D0F81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556260</xdr:colOff>
      <xdr:row>12</xdr:row>
      <xdr:rowOff>38100</xdr:rowOff>
    </xdr:from>
    <xdr:to>
      <xdr:col>13</xdr:col>
      <xdr:colOff>571500</xdr:colOff>
      <xdr:row>20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48A444-BF45-730B-5B6A-7B83B788DB57}"/>
            </a:ext>
          </a:extLst>
        </xdr:cNvPr>
        <xdr:cNvSpPr txBox="1"/>
      </xdr:nvSpPr>
      <xdr:spPr>
        <a:xfrm>
          <a:off x="5707380" y="2255520"/>
          <a:ext cx="4434840" cy="1805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PAT growth assumptions are based on: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• Historical 5-year PAT CAGR 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• Banking credit growth trends (14–16%)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• HDFC Bank’s loan growth and merger impact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• Digital expansion and operating efficiency gains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• The standard declining growth approach for DCF models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Therefore, PAT is projected to grow at: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FY26: 14%, FY27: 13%, FY28: 12%, FY29: 11%, FY30: 10%.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Long-term terminal growth (g) is assumed at 2.5%,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reflecting long-term Indian economic expansion.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6</xdr:col>
      <xdr:colOff>53340</xdr:colOff>
      <xdr:row>28</xdr:row>
      <xdr:rowOff>30480</xdr:rowOff>
    </xdr:from>
    <xdr:to>
      <xdr:col>10</xdr:col>
      <xdr:colOff>198120</xdr:colOff>
      <xdr:row>32</xdr:row>
      <xdr:rowOff>137160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21053B-D7A8-A015-732B-C7189D99D056}"/>
            </a:ext>
          </a:extLst>
        </xdr:cNvPr>
        <xdr:cNvSpPr txBox="1"/>
      </xdr:nvSpPr>
      <xdr:spPr>
        <a:xfrm>
          <a:off x="4076700" y="4450080"/>
          <a:ext cx="2827020" cy="845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HDFC Bank maintains a stable 11–13% payout policy.</a:t>
          </a:r>
          <a:endParaRPr lang="en-IN"/>
        </a:p>
        <a:p>
          <a:r>
            <a:rPr lang="en-IN"/>
            <a:t>So for forecasting:</a:t>
          </a:r>
        </a:p>
        <a:p>
          <a:r>
            <a:rPr lang="en-IN" b="1"/>
            <a:t>Use a constant payout ratio = 11%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CEED-F158-4754-8879-4B7A523660C0}">
  <dimension ref="A1:AE57"/>
  <sheetViews>
    <sheetView showGridLines="0" tabSelected="1" zoomScale="72" workbookViewId="0">
      <selection activeCell="E12" sqref="E12"/>
    </sheetView>
  </sheetViews>
  <sheetFormatPr defaultRowHeight="14.4"/>
  <cols>
    <col min="1" max="1" width="3.88671875" customWidth="1"/>
    <col min="2" max="2" width="4" customWidth="1"/>
    <col min="3" max="3" width="13.21875" customWidth="1"/>
    <col min="4" max="4" width="13.33203125" customWidth="1"/>
    <col min="12" max="12" width="3.5546875" customWidth="1"/>
    <col min="13" max="13" width="2.88671875" customWidth="1"/>
    <col min="14" max="14" width="3.21875" customWidth="1"/>
    <col min="15" max="15" width="2.77734375" customWidth="1"/>
    <col min="16" max="16" width="3.5546875" customWidth="1"/>
    <col min="18" max="18" width="13.44140625" customWidth="1"/>
    <col min="19" max="19" width="4.77734375" customWidth="1"/>
    <col min="20" max="20" width="3.77734375" customWidth="1"/>
  </cols>
  <sheetData>
    <row r="1" spans="1:23" ht="14.4" customHeight="1">
      <c r="A1" s="142"/>
      <c r="B1" s="142"/>
      <c r="C1" s="223" t="s">
        <v>126</v>
      </c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142"/>
      <c r="T1" s="142"/>
    </row>
    <row r="2" spans="1:23" ht="14.4" customHeight="1">
      <c r="A2" s="142"/>
      <c r="B2" s="141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141"/>
      <c r="T2" s="142"/>
    </row>
    <row r="3" spans="1:23" ht="14.4" customHeight="1">
      <c r="A3" s="141"/>
      <c r="B3" s="141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141"/>
      <c r="T3" s="141"/>
    </row>
    <row r="4" spans="1:23" ht="14.4" customHeight="1">
      <c r="A4" s="141"/>
      <c r="B4" s="141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141"/>
      <c r="T4" s="141"/>
    </row>
    <row r="5" spans="1:23" ht="14.4" customHeight="1">
      <c r="A5" s="142"/>
      <c r="B5" s="141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141"/>
      <c r="T5" s="142"/>
    </row>
    <row r="6" spans="1:23" ht="14.4" customHeight="1">
      <c r="A6" s="142"/>
      <c r="B6" s="142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142"/>
      <c r="T6" s="142"/>
    </row>
    <row r="7" spans="1:23" ht="15" thickBot="1"/>
    <row r="8" spans="1:23" ht="15" thickBot="1">
      <c r="C8" s="83" t="s">
        <v>117</v>
      </c>
      <c r="D8" s="87" t="s">
        <v>118</v>
      </c>
    </row>
    <row r="9" spans="1:23" ht="15" thickBot="1">
      <c r="C9" s="98" t="s">
        <v>119</v>
      </c>
      <c r="D9" s="216" t="s">
        <v>120</v>
      </c>
      <c r="U9" s="33" t="s">
        <v>261</v>
      </c>
      <c r="V9" s="148"/>
      <c r="W9" s="6" t="s">
        <v>118</v>
      </c>
    </row>
    <row r="10" spans="1:23">
      <c r="C10" s="99" t="s">
        <v>121</v>
      </c>
      <c r="D10" s="217" t="s">
        <v>239</v>
      </c>
      <c r="U10" s="29" t="s">
        <v>287</v>
      </c>
      <c r="V10" s="47"/>
      <c r="W10" s="71">
        <f>DCF!D59</f>
        <v>1440.0758733235705</v>
      </c>
    </row>
    <row r="11" spans="1:23">
      <c r="C11" s="99" t="s">
        <v>122</v>
      </c>
      <c r="D11" s="217" t="s">
        <v>123</v>
      </c>
      <c r="U11" s="29" t="s">
        <v>302</v>
      </c>
      <c r="V11" s="47"/>
      <c r="W11" s="47">
        <v>1002.9</v>
      </c>
    </row>
    <row r="12" spans="1:23" ht="15" thickBot="1">
      <c r="C12" s="99" t="s">
        <v>124</v>
      </c>
      <c r="D12" s="217" t="s">
        <v>125</v>
      </c>
      <c r="U12" s="212" t="s">
        <v>303</v>
      </c>
      <c r="V12" s="84"/>
      <c r="W12" s="213">
        <f>(W10/W11)-1</f>
        <v>0.43591172930857569</v>
      </c>
    </row>
    <row r="13" spans="1:23" ht="15" thickBot="1">
      <c r="C13" s="100"/>
      <c r="D13" s="143"/>
      <c r="E13" s="9"/>
    </row>
    <row r="54" spans="31:31">
      <c r="AE54" s="15"/>
    </row>
    <row r="55" spans="31:31">
      <c r="AE55" s="211"/>
    </row>
    <row r="56" spans="31:31">
      <c r="AE56" s="145"/>
    </row>
    <row r="57" spans="31:31">
      <c r="AE57" s="145"/>
    </row>
  </sheetData>
  <mergeCells count="1">
    <mergeCell ref="C1:R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5D30-5F9C-4E1F-A4D5-A1DB8E5616BF}">
  <dimension ref="A1:T15"/>
  <sheetViews>
    <sheetView showGridLines="0" workbookViewId="0">
      <selection activeCell="G7" sqref="G7"/>
    </sheetView>
  </sheetViews>
  <sheetFormatPr defaultRowHeight="14.4"/>
  <cols>
    <col min="1" max="2" width="3" customWidth="1"/>
    <col min="19" max="19" width="2.5546875" customWidth="1"/>
    <col min="20" max="20" width="2.109375" customWidth="1"/>
  </cols>
  <sheetData>
    <row r="1" spans="1:20" ht="12" customHeight="1">
      <c r="A1" s="142"/>
      <c r="B1" s="142"/>
      <c r="C1" s="223" t="s">
        <v>307</v>
      </c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142"/>
      <c r="T1" s="142"/>
    </row>
    <row r="2" spans="1:20" ht="13.2" customHeight="1">
      <c r="A2" s="142"/>
      <c r="B2" s="141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141"/>
      <c r="T2" s="142"/>
    </row>
    <row r="3" spans="1:20" ht="15" customHeight="1">
      <c r="A3" s="141"/>
      <c r="B3" s="141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141"/>
      <c r="T3" s="141"/>
    </row>
    <row r="4" spans="1:20" ht="15.6" customHeight="1">
      <c r="A4" s="141"/>
      <c r="B4" s="141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141"/>
      <c r="T4" s="141"/>
    </row>
    <row r="5" spans="1:20" ht="13.8" customHeight="1">
      <c r="A5" s="142"/>
      <c r="B5" s="141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141"/>
      <c r="T5" s="142"/>
    </row>
    <row r="6" spans="1:20" ht="14.4" customHeight="1">
      <c r="A6" s="142"/>
      <c r="B6" s="142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142"/>
      <c r="T6" s="142"/>
    </row>
    <row r="8" spans="1:20">
      <c r="D8" s="7" t="s">
        <v>308</v>
      </c>
    </row>
    <row r="9" spans="1:20" ht="15" thickBot="1"/>
    <row r="10" spans="1:20" ht="15" thickBot="1">
      <c r="D10" s="138">
        <f>DCF!D59</f>
        <v>1440.0758733235705</v>
      </c>
      <c r="E10" s="245">
        <v>0.02</v>
      </c>
      <c r="F10" s="245">
        <v>2.5000000000000001E-2</v>
      </c>
      <c r="G10" s="140">
        <v>0.03</v>
      </c>
    </row>
    <row r="11" spans="1:20" ht="15" thickBot="1">
      <c r="D11" s="245">
        <v>7.46E-2</v>
      </c>
      <c r="E11" s="243">
        <v>2108.2482752940632</v>
      </c>
      <c r="F11" s="241">
        <v>2108.2482752940632</v>
      </c>
      <c r="G11" s="244">
        <v>2108.2482752940632</v>
      </c>
    </row>
    <row r="12" spans="1:20" ht="15" thickBot="1">
      <c r="D12" s="246">
        <v>8.4599999999999995E-2</v>
      </c>
      <c r="E12" s="240">
        <v>1721.0657184991881</v>
      </c>
      <c r="F12" s="75">
        <v>1721.0657184991881</v>
      </c>
      <c r="G12" s="71">
        <v>1721.0657184991881</v>
      </c>
    </row>
    <row r="13" spans="1:20" ht="15" thickBot="1">
      <c r="D13" s="245">
        <v>9.4600000000000004E-2</v>
      </c>
      <c r="E13" s="243">
        <v>1440.5539921592897</v>
      </c>
      <c r="F13" s="241">
        <v>1440.5539921592897</v>
      </c>
      <c r="G13" s="244">
        <v>1440.5539921592897</v>
      </c>
    </row>
    <row r="14" spans="1:20" ht="15" thickBot="1">
      <c r="D14" s="245">
        <v>0.1046</v>
      </c>
      <c r="E14" s="243">
        <v>1226.6846633168893</v>
      </c>
      <c r="F14" s="241">
        <v>1226.6846633168893</v>
      </c>
      <c r="G14" s="244">
        <v>1226.6846633168893</v>
      </c>
    </row>
    <row r="15" spans="1:20" ht="15" thickBot="1">
      <c r="D15" s="247">
        <v>0.11459999999999999</v>
      </c>
      <c r="E15" s="196">
        <v>1057.2925452140776</v>
      </c>
      <c r="F15" s="171">
        <v>1057.2925452140776</v>
      </c>
      <c r="G15" s="88">
        <v>1057.2925452140776</v>
      </c>
    </row>
  </sheetData>
  <mergeCells count="1">
    <mergeCell ref="C1:R6"/>
  </mergeCells>
  <conditionalFormatting sqref="E11:G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0A8E-B9E5-4207-BE97-A9CD2DF1C0E9}">
  <dimension ref="A1:T59"/>
  <sheetViews>
    <sheetView showGridLines="0" workbookViewId="0">
      <selection activeCell="H8" sqref="H8"/>
    </sheetView>
  </sheetViews>
  <sheetFormatPr defaultRowHeight="14.4"/>
  <cols>
    <col min="1" max="1" width="3.109375" customWidth="1"/>
    <col min="2" max="2" width="3.77734375" customWidth="1"/>
    <col min="3" max="3" width="19.44140625" customWidth="1"/>
    <col min="4" max="4" width="13.6640625" customWidth="1"/>
    <col min="5" max="5" width="12" customWidth="1"/>
    <col min="6" max="6" width="14.77734375" customWidth="1"/>
    <col min="7" max="7" width="11.109375" customWidth="1"/>
    <col min="8" max="8" width="10.21875" customWidth="1"/>
    <col min="9" max="9" width="10.5546875" customWidth="1"/>
    <col min="10" max="10" width="11.77734375" customWidth="1"/>
    <col min="12" max="12" width="10.88671875" customWidth="1"/>
    <col min="13" max="13" width="12.109375" customWidth="1"/>
    <col min="19" max="19" width="4.109375" customWidth="1"/>
    <col min="20" max="20" width="3.109375" customWidth="1"/>
  </cols>
  <sheetData>
    <row r="1" spans="1:20" ht="13.2" customHeight="1">
      <c r="A1" s="142"/>
      <c r="B1" s="142"/>
      <c r="C1" s="223" t="s">
        <v>269</v>
      </c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142"/>
      <c r="T1" s="142"/>
    </row>
    <row r="2" spans="1:20" ht="15.6" customHeight="1">
      <c r="A2" s="142"/>
      <c r="B2" s="141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141"/>
      <c r="T2" s="142"/>
    </row>
    <row r="3" spans="1:20" ht="14.4" customHeight="1">
      <c r="A3" s="141"/>
      <c r="B3" s="141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141"/>
      <c r="T3" s="141"/>
    </row>
    <row r="4" spans="1:20" ht="14.4" customHeight="1">
      <c r="A4" s="141"/>
      <c r="B4" s="141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141"/>
      <c r="T4" s="141"/>
    </row>
    <row r="5" spans="1:20" ht="12" customHeight="1">
      <c r="A5" s="142"/>
      <c r="B5" s="141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141"/>
      <c r="T5" s="142"/>
    </row>
    <row r="6" spans="1:20" ht="13.8" customHeight="1">
      <c r="A6" s="142"/>
      <c r="B6" s="142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142"/>
      <c r="T6" s="142"/>
    </row>
    <row r="9" spans="1:20" ht="18.600000000000001" thickBot="1">
      <c r="C9" s="205" t="s">
        <v>294</v>
      </c>
      <c r="I9" s="150"/>
    </row>
    <row r="10" spans="1:20" ht="15" thickBot="1">
      <c r="C10" s="36">
        <v>1</v>
      </c>
      <c r="D10" s="128" t="s">
        <v>118</v>
      </c>
      <c r="E10" s="36" t="s">
        <v>245</v>
      </c>
      <c r="F10" s="148"/>
      <c r="I10" s="150"/>
    </row>
    <row r="11" spans="1:20">
      <c r="C11" s="98" t="s">
        <v>246</v>
      </c>
      <c r="D11" s="129">
        <f>'Raw Sheet'!I43</f>
        <v>70792.25</v>
      </c>
      <c r="E11" s="144" t="s">
        <v>247</v>
      </c>
      <c r="F11" s="47"/>
      <c r="I11" s="150"/>
      <c r="O11" s="119"/>
    </row>
    <row r="12" spans="1:20">
      <c r="C12" s="99" t="s">
        <v>248</v>
      </c>
      <c r="D12" s="129" t="s">
        <v>249</v>
      </c>
      <c r="E12" s="144" t="s">
        <v>250</v>
      </c>
      <c r="F12" s="47"/>
      <c r="I12" s="150"/>
      <c r="O12" s="119"/>
    </row>
    <row r="13" spans="1:20" ht="31.2" customHeight="1">
      <c r="C13" s="206" t="s">
        <v>295</v>
      </c>
      <c r="D13" s="204" t="s">
        <v>296</v>
      </c>
      <c r="E13" s="144" t="s">
        <v>297</v>
      </c>
      <c r="F13" s="47"/>
      <c r="I13" s="150"/>
      <c r="O13" s="119"/>
    </row>
    <row r="14" spans="1:20" ht="14.4" customHeight="1">
      <c r="C14" s="209" t="s">
        <v>298</v>
      </c>
      <c r="D14" s="210">
        <v>2.5000000000000001E-2</v>
      </c>
      <c r="E14" t="s">
        <v>301</v>
      </c>
      <c r="F14" s="47"/>
      <c r="I14" s="150"/>
      <c r="O14" s="119"/>
    </row>
    <row r="15" spans="1:20" ht="14.4" customHeight="1">
      <c r="C15" s="209" t="s">
        <v>299</v>
      </c>
      <c r="D15" s="210">
        <v>0.11</v>
      </c>
      <c r="E15" s="144" t="s">
        <v>300</v>
      </c>
      <c r="F15" s="47"/>
      <c r="I15" s="150"/>
      <c r="O15" s="119"/>
    </row>
    <row r="16" spans="1:20" ht="14.4" customHeight="1">
      <c r="C16" s="209"/>
      <c r="D16" s="210"/>
      <c r="E16" s="144"/>
      <c r="F16" s="47"/>
      <c r="I16" s="150"/>
      <c r="O16" s="119"/>
    </row>
    <row r="17" spans="3:15">
      <c r="C17" s="99" t="s">
        <v>251</v>
      </c>
      <c r="D17" s="207">
        <v>0.14000000000000001</v>
      </c>
      <c r="E17" s="144" t="s">
        <v>252</v>
      </c>
      <c r="F17" s="47"/>
      <c r="I17" s="150"/>
      <c r="O17" s="119"/>
    </row>
    <row r="18" spans="3:15">
      <c r="C18" s="99" t="s">
        <v>253</v>
      </c>
      <c r="D18" s="207">
        <v>0.13</v>
      </c>
      <c r="E18" s="144" t="s">
        <v>254</v>
      </c>
      <c r="F18" s="47"/>
      <c r="O18" s="119"/>
    </row>
    <row r="19" spans="3:15">
      <c r="C19" s="99" t="s">
        <v>255</v>
      </c>
      <c r="D19" s="207">
        <v>0.12</v>
      </c>
      <c r="E19" s="144" t="s">
        <v>256</v>
      </c>
      <c r="F19" s="47"/>
      <c r="I19" s="149"/>
      <c r="O19" s="119"/>
    </row>
    <row r="20" spans="3:15">
      <c r="C20" s="99" t="s">
        <v>257</v>
      </c>
      <c r="D20" s="207">
        <v>0.11</v>
      </c>
      <c r="E20" s="144" t="s">
        <v>258</v>
      </c>
      <c r="F20" s="47"/>
      <c r="O20" s="119"/>
    </row>
    <row r="21" spans="3:15" ht="15" thickBot="1">
      <c r="C21" s="100" t="s">
        <v>259</v>
      </c>
      <c r="D21" s="208">
        <v>0.1</v>
      </c>
      <c r="E21" s="146" t="s">
        <v>260</v>
      </c>
      <c r="F21" s="84"/>
      <c r="O21" s="119"/>
    </row>
    <row r="22" spans="3:15" ht="15" thickBot="1">
      <c r="O22" s="119"/>
    </row>
    <row r="23" spans="3:15" ht="15" thickBot="1">
      <c r="C23" s="161" t="s">
        <v>261</v>
      </c>
      <c r="D23" s="162" t="s">
        <v>118</v>
      </c>
      <c r="O23" s="119"/>
    </row>
    <row r="24" spans="3:15">
      <c r="C24" s="153" t="s">
        <v>262</v>
      </c>
      <c r="D24" s="160">
        <f>'Raw Sheet'!E43</f>
        <v>31833.21</v>
      </c>
      <c r="O24" s="119"/>
    </row>
    <row r="25" spans="3:15" ht="15" thickBot="1">
      <c r="C25" s="153" t="s">
        <v>263</v>
      </c>
      <c r="D25" s="160">
        <f>'Raw Sheet'!I43</f>
        <v>70792.25</v>
      </c>
      <c r="O25" s="119"/>
    </row>
    <row r="26" spans="3:15" ht="15" thickBot="1">
      <c r="C26" s="214" t="s">
        <v>264</v>
      </c>
      <c r="D26" s="215">
        <f>(D25/D24)^(1/5) - 1</f>
        <v>0.1733323811165306</v>
      </c>
    </row>
    <row r="27" spans="3:15">
      <c r="C27" s="151"/>
      <c r="D27" s="152"/>
    </row>
    <row r="28" spans="3:15" ht="15" thickBot="1">
      <c r="C28" s="7" t="s">
        <v>268</v>
      </c>
    </row>
    <row r="29" spans="3:15" ht="15" thickBot="1">
      <c r="C29" s="161" t="s">
        <v>200</v>
      </c>
      <c r="D29" s="162" t="s">
        <v>265</v>
      </c>
      <c r="E29" s="163" t="s">
        <v>266</v>
      </c>
    </row>
    <row r="30" spans="3:15">
      <c r="C30" s="153">
        <v>2025</v>
      </c>
      <c r="D30" s="219">
        <f>D11</f>
        <v>70792.25</v>
      </c>
      <c r="E30" s="159" t="s">
        <v>267</v>
      </c>
    </row>
    <row r="31" spans="3:15">
      <c r="C31" s="153">
        <v>2026</v>
      </c>
      <c r="D31" s="219">
        <f>D30 * (1 + E31)</f>
        <v>80703.165000000008</v>
      </c>
      <c r="E31" s="156">
        <v>0.14000000000000001</v>
      </c>
    </row>
    <row r="32" spans="3:15">
      <c r="C32" s="153">
        <v>2027</v>
      </c>
      <c r="D32" s="219">
        <f t="shared" ref="D32:D35" si="0">D31 * (1 + E32)</f>
        <v>91194.576450000008</v>
      </c>
      <c r="E32" s="156">
        <v>0.13</v>
      </c>
    </row>
    <row r="33" spans="2:16" ht="15" thickBot="1">
      <c r="C33" s="153">
        <v>2028</v>
      </c>
      <c r="D33" s="219">
        <f t="shared" si="0"/>
        <v>102137.92562400002</v>
      </c>
      <c r="E33" s="156">
        <v>0.12</v>
      </c>
    </row>
    <row r="34" spans="2:16" ht="15" thickBot="1">
      <c r="C34" s="153">
        <v>2029</v>
      </c>
      <c r="D34" s="219">
        <f t="shared" si="0"/>
        <v>113373.09744264004</v>
      </c>
      <c r="E34" s="156">
        <v>0.11</v>
      </c>
      <c r="G34" s="4" t="s">
        <v>273</v>
      </c>
      <c r="H34" s="148"/>
      <c r="I34" s="164">
        <f>D15</f>
        <v>0.11</v>
      </c>
      <c r="L34" s="7" t="s">
        <v>278</v>
      </c>
    </row>
    <row r="35" spans="2:16" ht="15" thickBot="1">
      <c r="C35" s="157">
        <v>2030</v>
      </c>
      <c r="D35" s="220">
        <f t="shared" si="0"/>
        <v>124710.40718690405</v>
      </c>
      <c r="E35" s="158">
        <v>0.1</v>
      </c>
      <c r="L35" s="174" t="s">
        <v>280</v>
      </c>
      <c r="M35" s="175">
        <f>WACC!D18</f>
        <v>9.4619726725823111E-2</v>
      </c>
    </row>
    <row r="36" spans="2:16">
      <c r="C36" s="154"/>
      <c r="D36" s="154"/>
      <c r="E36" s="167"/>
      <c r="L36" s="174" t="s">
        <v>202</v>
      </c>
      <c r="M36" s="175">
        <f>WACC!D27</f>
        <v>7.7304189053995553E-2</v>
      </c>
    </row>
    <row r="37" spans="2:16">
      <c r="C37" s="154"/>
      <c r="D37" s="154"/>
      <c r="E37" s="167"/>
      <c r="L37" s="174" t="s">
        <v>281</v>
      </c>
      <c r="M37" s="175">
        <f>D14</f>
        <v>2.5000000000000001E-2</v>
      </c>
    </row>
    <row r="38" spans="2:16" ht="21" customHeight="1" thickBot="1">
      <c r="C38" s="173" t="s">
        <v>283</v>
      </c>
      <c r="L38" s="176" t="s">
        <v>282</v>
      </c>
      <c r="M38" s="177">
        <f>'Raw Sheet'!L13+'Raw Sheet'!I10</f>
        <v>497619.44289999997</v>
      </c>
    </row>
    <row r="39" spans="2:16" ht="29.4" thickBot="1">
      <c r="B39" s="36" t="s">
        <v>277</v>
      </c>
      <c r="C39" s="162" t="s">
        <v>200</v>
      </c>
      <c r="D39" s="168" t="s">
        <v>270</v>
      </c>
      <c r="E39" s="162" t="s">
        <v>271</v>
      </c>
      <c r="F39" s="168" t="s">
        <v>144</v>
      </c>
      <c r="G39" s="162" t="s">
        <v>272</v>
      </c>
      <c r="H39" s="168" t="s">
        <v>274</v>
      </c>
      <c r="I39" s="162" t="s">
        <v>275</v>
      </c>
      <c r="J39" s="163" t="s">
        <v>276</v>
      </c>
      <c r="L39" s="178" t="s">
        <v>279</v>
      </c>
      <c r="M39" s="176">
        <f>'Raw Sheet'!I23</f>
        <v>7652221674</v>
      </c>
    </row>
    <row r="40" spans="2:16">
      <c r="B40" s="30">
        <v>1</v>
      </c>
      <c r="C40" s="99">
        <v>2026</v>
      </c>
      <c r="D40" s="114">
        <f>M38</f>
        <v>497619.44289999997</v>
      </c>
      <c r="E40" s="169">
        <f>D31</f>
        <v>80703.165000000008</v>
      </c>
      <c r="F40" s="165">
        <f>E40*$I$34</f>
        <v>8877.3481500000016</v>
      </c>
      <c r="G40" s="169">
        <f>D40+E40-F40</f>
        <v>569445.25974999997</v>
      </c>
      <c r="H40" s="172">
        <f>D40*$M$35</f>
        <v>47084.615700654336</v>
      </c>
      <c r="I40" s="75">
        <f>E40-H40</f>
        <v>33618.549299345672</v>
      </c>
      <c r="J40" s="172">
        <f>I40/(1+$M$36)^B40</f>
        <v>31206.180799191781</v>
      </c>
      <c r="P40" s="39"/>
    </row>
    <row r="41" spans="2:16">
      <c r="B41" s="30">
        <v>2</v>
      </c>
      <c r="C41" s="99">
        <v>2027</v>
      </c>
      <c r="D41" s="114">
        <f t="shared" ref="D41:D44" si="1">G40</f>
        <v>569445.25974999997</v>
      </c>
      <c r="E41" s="169">
        <f t="shared" ref="E41:E44" si="2">D32</f>
        <v>91194.576450000008</v>
      </c>
      <c r="F41" s="165">
        <f>E41*$I$34</f>
        <v>10031.403409500001</v>
      </c>
      <c r="G41" s="169">
        <f t="shared" ref="G41:G44" si="3">D41+E41-F41</f>
        <v>650608.4327905</v>
      </c>
      <c r="H41" s="75">
        <f t="shared" ref="H41:H44" si="4">D41*$M$35</f>
        <v>53880.754862860354</v>
      </c>
      <c r="I41" s="75">
        <f t="shared" ref="I41:I44" si="5">E41-H41</f>
        <v>37313.821587139653</v>
      </c>
      <c r="J41" s="75">
        <f t="shared" ref="J41:J44" si="6">I41/(1+$M$36)^B41</f>
        <v>32150.892512209077</v>
      </c>
    </row>
    <row r="42" spans="2:16">
      <c r="B42" s="30">
        <v>3</v>
      </c>
      <c r="C42" s="99">
        <v>2028</v>
      </c>
      <c r="D42" s="114">
        <f t="shared" si="1"/>
        <v>650608.4327905</v>
      </c>
      <c r="E42" s="169">
        <f t="shared" si="2"/>
        <v>102137.92562400002</v>
      </c>
      <c r="F42" s="165">
        <f>E42*$I$34</f>
        <v>11235.171818640003</v>
      </c>
      <c r="G42" s="169">
        <f t="shared" si="3"/>
        <v>741511.18659586005</v>
      </c>
      <c r="H42" s="75">
        <f t="shared" si="4"/>
        <v>61560.392116153162</v>
      </c>
      <c r="I42" s="75">
        <f t="shared" si="5"/>
        <v>40577.533507846863</v>
      </c>
      <c r="J42" s="75">
        <f t="shared" si="6"/>
        <v>32454.176916889712</v>
      </c>
    </row>
    <row r="43" spans="2:16">
      <c r="B43" s="30">
        <v>4</v>
      </c>
      <c r="C43" s="99">
        <v>2029</v>
      </c>
      <c r="D43" s="114">
        <f t="shared" si="1"/>
        <v>741511.18659586005</v>
      </c>
      <c r="E43" s="169">
        <f t="shared" si="2"/>
        <v>113373.09744264004</v>
      </c>
      <c r="F43" s="165">
        <f>E43*$I$34</f>
        <v>12471.040718690403</v>
      </c>
      <c r="G43" s="169">
        <f t="shared" si="3"/>
        <v>842413.24331980967</v>
      </c>
      <c r="H43" s="75">
        <f t="shared" si="4"/>
        <v>70161.585839841107</v>
      </c>
      <c r="I43" s="75">
        <f t="shared" si="5"/>
        <v>43211.511602798928</v>
      </c>
      <c r="J43" s="75">
        <f t="shared" si="6"/>
        <v>32080.864615770744</v>
      </c>
    </row>
    <row r="44" spans="2:16" ht="15" thickBot="1">
      <c r="B44" s="65">
        <v>5</v>
      </c>
      <c r="C44" s="100">
        <v>2030</v>
      </c>
      <c r="D44" s="221">
        <f t="shared" si="1"/>
        <v>842413.24331980967</v>
      </c>
      <c r="E44" s="170">
        <f t="shared" si="2"/>
        <v>124710.40718690405</v>
      </c>
      <c r="F44" s="166">
        <f>E44*$I$34</f>
        <v>13718.144790559445</v>
      </c>
      <c r="G44" s="170">
        <f t="shared" si="3"/>
        <v>953405.50571615424</v>
      </c>
      <c r="H44" s="171">
        <f t="shared" si="4"/>
        <v>79708.910873134722</v>
      </c>
      <c r="I44" s="171">
        <f t="shared" si="5"/>
        <v>45001.496313769327</v>
      </c>
      <c r="J44" s="171">
        <f t="shared" si="6"/>
        <v>31012.388190525104</v>
      </c>
    </row>
    <row r="47" spans="2:16" ht="29.4" thickBot="1">
      <c r="C47" s="173" t="s">
        <v>284</v>
      </c>
    </row>
    <row r="48" spans="2:16" ht="15" thickBot="1">
      <c r="C48" s="137" t="s">
        <v>285</v>
      </c>
      <c r="D48" s="222">
        <f>I44/(M35-M37)</f>
        <v>646390.01659679774</v>
      </c>
    </row>
    <row r="49" spans="3:4" ht="15" thickBot="1">
      <c r="C49" s="137" t="s">
        <v>286</v>
      </c>
      <c r="D49" s="222">
        <f>D48/(1+M36)^5</f>
        <v>445454.03507052397</v>
      </c>
    </row>
    <row r="52" spans="3:4" ht="29.4" thickBot="1">
      <c r="C52" s="173" t="s">
        <v>287</v>
      </c>
    </row>
    <row r="53" spans="3:4" ht="15" thickBot="1">
      <c r="C53" s="162" t="s">
        <v>158</v>
      </c>
      <c r="D53" s="163" t="s">
        <v>288</v>
      </c>
    </row>
    <row r="54" spans="3:4">
      <c r="C54" s="160" t="s">
        <v>270</v>
      </c>
      <c r="D54" s="179">
        <f>M38</f>
        <v>497619.44289999997</v>
      </c>
    </row>
    <row r="55" spans="3:4">
      <c r="C55" s="160" t="s">
        <v>276</v>
      </c>
      <c r="D55" s="179">
        <f>SUM(J40:J44)</f>
        <v>158904.50303458644</v>
      </c>
    </row>
    <row r="56" spans="3:4">
      <c r="C56" s="160" t="s">
        <v>289</v>
      </c>
      <c r="D56" s="179">
        <f>D49</f>
        <v>445454.03507052397</v>
      </c>
    </row>
    <row r="57" spans="3:4">
      <c r="C57" s="181" t="s">
        <v>290</v>
      </c>
      <c r="D57" s="180">
        <f>SUM(D54:D56)</f>
        <v>1101977.9810051103</v>
      </c>
    </row>
    <row r="58" spans="3:4" ht="15" thickBot="1">
      <c r="C58" s="160" t="s">
        <v>291</v>
      </c>
      <c r="D58" s="155">
        <f>M39</f>
        <v>7652221674</v>
      </c>
    </row>
    <row r="59" spans="3:4" ht="29.4" thickBot="1">
      <c r="C59" s="182" t="s">
        <v>292</v>
      </c>
      <c r="D59" s="183">
        <f>(D57/D58)*10000000</f>
        <v>1440.0758733235705</v>
      </c>
    </row>
  </sheetData>
  <mergeCells count="1">
    <mergeCell ref="C1:R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75B5-A9F6-40FC-B4D8-5994B92ED775}">
  <dimension ref="A1:T47"/>
  <sheetViews>
    <sheetView showGridLines="0" workbookViewId="0">
      <selection activeCell="K8" sqref="K8"/>
    </sheetView>
  </sheetViews>
  <sheetFormatPr defaultRowHeight="14.4"/>
  <cols>
    <col min="1" max="1" width="3.5546875" customWidth="1"/>
    <col min="2" max="2" width="3.44140625" customWidth="1"/>
    <col min="3" max="3" width="7.21875" customWidth="1"/>
    <col min="4" max="4" width="51.5546875" bestFit="1" customWidth="1"/>
    <col min="5" max="5" width="17" bestFit="1" customWidth="1"/>
    <col min="6" max="6" width="6.88671875" customWidth="1"/>
    <col min="7" max="7" width="5.109375" customWidth="1"/>
    <col min="10" max="10" width="11" customWidth="1"/>
    <col min="13" max="13" width="3.5546875" customWidth="1"/>
    <col min="14" max="14" width="3.88671875" customWidth="1"/>
    <col min="15" max="15" width="4.6640625" customWidth="1"/>
    <col min="16" max="17" width="4.109375" customWidth="1"/>
    <col min="18" max="18" width="3.33203125" customWidth="1"/>
    <col min="19" max="19" width="3.6640625" customWidth="1"/>
    <col min="20" max="20" width="2.77734375" customWidth="1"/>
  </cols>
  <sheetData>
    <row r="1" spans="1:20" ht="13.8" customHeight="1">
      <c r="A1" s="142"/>
      <c r="B1" s="142"/>
      <c r="C1" s="223" t="s">
        <v>237</v>
      </c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142"/>
      <c r="T1" s="142"/>
    </row>
    <row r="2" spans="1:20" ht="13.8" customHeight="1">
      <c r="A2" s="142"/>
      <c r="B2" s="141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141"/>
      <c r="T2" s="142"/>
    </row>
    <row r="3" spans="1:20" ht="15" customHeight="1">
      <c r="A3" s="141"/>
      <c r="B3" s="141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141"/>
      <c r="T3" s="141"/>
    </row>
    <row r="4" spans="1:20" ht="13.2" customHeight="1">
      <c r="A4" s="141"/>
      <c r="B4" s="141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141"/>
      <c r="T4" s="141"/>
    </row>
    <row r="5" spans="1:20" ht="12.6" customHeight="1">
      <c r="A5" s="142"/>
      <c r="B5" s="141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141"/>
      <c r="T5" s="142"/>
    </row>
    <row r="6" spans="1:20" ht="13.8" customHeight="1">
      <c r="A6" s="142"/>
      <c r="B6" s="142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142"/>
      <c r="T6" s="142"/>
    </row>
    <row r="9" spans="1:20" ht="25.8" customHeight="1">
      <c r="C9" s="118" t="s">
        <v>209</v>
      </c>
    </row>
    <row r="10" spans="1:20">
      <c r="C10" s="119"/>
    </row>
    <row r="11" spans="1:20">
      <c r="C11" s="120" t="s">
        <v>206</v>
      </c>
    </row>
    <row r="12" spans="1:20">
      <c r="C12" s="119" t="s">
        <v>207</v>
      </c>
    </row>
    <row r="13" spans="1:20">
      <c r="C13" s="119" t="s">
        <v>208</v>
      </c>
    </row>
    <row r="15" spans="1:20" ht="15" thickBot="1">
      <c r="G15" s="11"/>
    </row>
    <row r="16" spans="1:20" ht="15" thickBot="1">
      <c r="C16" s="83" t="s">
        <v>200</v>
      </c>
      <c r="D16" s="128" t="s">
        <v>210</v>
      </c>
      <c r="E16" s="128" t="s">
        <v>211</v>
      </c>
      <c r="G16" s="11"/>
    </row>
    <row r="17" spans="3:10">
      <c r="C17" s="83">
        <v>0</v>
      </c>
      <c r="D17" s="123" t="s">
        <v>212</v>
      </c>
      <c r="E17" s="133">
        <v>-800</v>
      </c>
      <c r="G17" s="11"/>
      <c r="H17" s="7">
        <v>1</v>
      </c>
      <c r="I17" s="7" t="s">
        <v>228</v>
      </c>
    </row>
    <row r="18" spans="3:10" ht="15" thickBot="1">
      <c r="C18" s="129">
        <v>1</v>
      </c>
      <c r="D18" s="121" t="s">
        <v>213</v>
      </c>
      <c r="E18" s="133">
        <v>-400</v>
      </c>
      <c r="G18" s="11"/>
    </row>
    <row r="19" spans="3:10" ht="15" thickBot="1">
      <c r="C19" s="129">
        <v>1</v>
      </c>
      <c r="D19" s="121" t="s">
        <v>214</v>
      </c>
      <c r="E19" s="133">
        <v>120</v>
      </c>
      <c r="G19" s="11"/>
      <c r="I19" s="137" t="s">
        <v>229</v>
      </c>
      <c r="J19" s="138">
        <f>NPV(WACC!D27,'Project Undertaking'!E39:E42)+'Project Undertaking'!E38</f>
        <v>620.21094184387266</v>
      </c>
    </row>
    <row r="20" spans="3:10">
      <c r="C20" s="129">
        <v>1</v>
      </c>
      <c r="D20" s="121" t="s">
        <v>215</v>
      </c>
      <c r="E20" s="133">
        <v>180</v>
      </c>
      <c r="G20" s="11"/>
    </row>
    <row r="21" spans="3:10">
      <c r="C21" s="129">
        <v>1</v>
      </c>
      <c r="D21" s="121" t="s">
        <v>216</v>
      </c>
      <c r="E21" s="133">
        <v>-50</v>
      </c>
      <c r="G21" s="11"/>
      <c r="H21" s="7">
        <v>2</v>
      </c>
      <c r="I21" s="7" t="s">
        <v>230</v>
      </c>
    </row>
    <row r="22" spans="3:10" ht="15" thickBot="1">
      <c r="C22" s="129"/>
      <c r="D22" s="121"/>
      <c r="E22" s="132"/>
      <c r="G22" s="11"/>
    </row>
    <row r="23" spans="3:10" ht="15" thickBot="1">
      <c r="C23" s="129">
        <v>2</v>
      </c>
      <c r="D23" s="121" t="s">
        <v>218</v>
      </c>
      <c r="E23" s="133">
        <v>200</v>
      </c>
      <c r="G23" s="11"/>
      <c r="I23" s="137" t="s">
        <v>231</v>
      </c>
      <c r="J23" s="140">
        <f>IRR(E38:E42)</f>
        <v>0.26704264197640559</v>
      </c>
    </row>
    <row r="24" spans="3:10">
      <c r="C24" s="129">
        <v>2</v>
      </c>
      <c r="D24" s="121" t="s">
        <v>219</v>
      </c>
      <c r="E24" s="133">
        <v>260</v>
      </c>
      <c r="G24" s="11"/>
    </row>
    <row r="25" spans="3:10">
      <c r="C25" s="129">
        <v>2</v>
      </c>
      <c r="D25" s="121" t="s">
        <v>220</v>
      </c>
      <c r="E25" s="133">
        <v>-70</v>
      </c>
      <c r="G25" s="11"/>
      <c r="H25" s="7">
        <v>3</v>
      </c>
      <c r="I25" s="7" t="s">
        <v>232</v>
      </c>
    </row>
    <row r="26" spans="3:10" ht="15" thickBot="1">
      <c r="C26" s="129"/>
      <c r="D26" s="121"/>
      <c r="E26" s="132"/>
      <c r="G26" s="11"/>
    </row>
    <row r="27" spans="3:10" ht="15" thickBot="1">
      <c r="C27" s="129">
        <v>3</v>
      </c>
      <c r="D27" s="121" t="s">
        <v>218</v>
      </c>
      <c r="E27" s="133">
        <v>240</v>
      </c>
      <c r="G27" s="11"/>
      <c r="I27" s="137" t="s">
        <v>233</v>
      </c>
      <c r="J27" s="139">
        <f>(J19+(-1)*E17)/(-E17)</f>
        <v>1.7752636773048409</v>
      </c>
    </row>
    <row r="28" spans="3:10">
      <c r="C28" s="129">
        <v>3</v>
      </c>
      <c r="D28" s="121" t="s">
        <v>219</v>
      </c>
      <c r="E28" s="133">
        <v>340</v>
      </c>
      <c r="G28" s="11"/>
    </row>
    <row r="29" spans="3:10">
      <c r="C29" s="129">
        <v>3</v>
      </c>
      <c r="D29" s="121" t="s">
        <v>222</v>
      </c>
      <c r="E29" s="133">
        <v>-90</v>
      </c>
      <c r="G29" s="11"/>
    </row>
    <row r="30" spans="3:10">
      <c r="C30" s="129"/>
      <c r="D30" s="121"/>
      <c r="E30" s="132"/>
      <c r="G30" s="11"/>
    </row>
    <row r="31" spans="3:10">
      <c r="C31" s="129">
        <v>4</v>
      </c>
      <c r="D31" s="121" t="s">
        <v>218</v>
      </c>
      <c r="E31" s="133">
        <v>280</v>
      </c>
      <c r="G31" s="11"/>
    </row>
    <row r="32" spans="3:10">
      <c r="C32" s="129">
        <v>4</v>
      </c>
      <c r="D32" s="121" t="s">
        <v>219</v>
      </c>
      <c r="E32" s="133">
        <v>440</v>
      </c>
      <c r="G32" s="11"/>
    </row>
    <row r="33" spans="3:7">
      <c r="C33" s="129">
        <v>4</v>
      </c>
      <c r="D33" s="121" t="s">
        <v>224</v>
      </c>
      <c r="E33" s="133">
        <v>-100</v>
      </c>
      <c r="G33" s="11"/>
    </row>
    <row r="34" spans="3:7">
      <c r="C34" s="129">
        <v>4</v>
      </c>
      <c r="D34" s="121" t="s">
        <v>225</v>
      </c>
      <c r="E34" s="133">
        <v>500</v>
      </c>
      <c r="G34" s="11"/>
    </row>
    <row r="35" spans="3:7" ht="15" thickBot="1">
      <c r="C35" s="130"/>
      <c r="D35" s="127"/>
      <c r="E35" s="134"/>
      <c r="G35" s="11"/>
    </row>
    <row r="36" spans="3:7">
      <c r="G36" s="11"/>
    </row>
    <row r="37" spans="3:7" ht="15" thickBot="1">
      <c r="D37" s="7" t="s">
        <v>234</v>
      </c>
      <c r="G37" s="11"/>
    </row>
    <row r="38" spans="3:7">
      <c r="D38" s="131" t="s">
        <v>227</v>
      </c>
      <c r="E38" s="135">
        <f>E17</f>
        <v>-800</v>
      </c>
      <c r="G38" s="11"/>
    </row>
    <row r="39" spans="3:7">
      <c r="D39" s="81" t="s">
        <v>217</v>
      </c>
      <c r="E39" s="71">
        <f>SUM(E18:E21)</f>
        <v>-150</v>
      </c>
      <c r="G39" s="11"/>
    </row>
    <row r="40" spans="3:7">
      <c r="D40" s="81" t="s">
        <v>221</v>
      </c>
      <c r="E40" s="71">
        <f>SUM(E23:E25)</f>
        <v>390</v>
      </c>
      <c r="G40" s="11"/>
    </row>
    <row r="41" spans="3:7">
      <c r="D41" s="81" t="s">
        <v>223</v>
      </c>
      <c r="E41" s="71">
        <f>SUM(E27:E29)</f>
        <v>490</v>
      </c>
      <c r="G41" s="11"/>
    </row>
    <row r="42" spans="3:7" ht="15" thickBot="1">
      <c r="D42" s="82" t="s">
        <v>226</v>
      </c>
      <c r="E42" s="88">
        <f>SUM(E31:E34)</f>
        <v>1120</v>
      </c>
      <c r="G42" s="11"/>
    </row>
    <row r="43" spans="3:7">
      <c r="G43" s="11"/>
    </row>
    <row r="44" spans="3:7">
      <c r="G44" s="11"/>
    </row>
    <row r="45" spans="3:7">
      <c r="G45" s="11"/>
    </row>
    <row r="46" spans="3:7">
      <c r="G46" s="11"/>
    </row>
    <row r="47" spans="3:7">
      <c r="G47" s="11"/>
    </row>
  </sheetData>
  <mergeCells count="1">
    <mergeCell ref="C1:R6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7735-90C2-4279-9DF5-C68617663579}">
  <dimension ref="A1:AA28"/>
  <sheetViews>
    <sheetView showGridLines="0" workbookViewId="0">
      <selection activeCell="E7" sqref="E7"/>
    </sheetView>
  </sheetViews>
  <sheetFormatPr defaultRowHeight="14.4"/>
  <cols>
    <col min="1" max="1" width="3" customWidth="1"/>
    <col min="2" max="2" width="2.5546875" customWidth="1"/>
    <col min="3" max="3" width="32.33203125" bestFit="1" customWidth="1"/>
    <col min="4" max="4" width="12.77734375" bestFit="1" customWidth="1"/>
    <col min="5" max="5" width="25.33203125" customWidth="1"/>
    <col min="6" max="6" width="3.44140625" customWidth="1"/>
    <col min="7" max="7" width="3.21875" customWidth="1"/>
    <col min="8" max="8" width="3.88671875" customWidth="1"/>
    <col min="9" max="9" width="3" customWidth="1"/>
    <col min="10" max="10" width="2.33203125" customWidth="1"/>
    <col min="11" max="11" width="3.5546875" customWidth="1"/>
    <col min="12" max="12" width="1.6640625" customWidth="1"/>
    <col min="13" max="13" width="4.88671875" customWidth="1"/>
    <col min="14" max="14" width="4.33203125" customWidth="1"/>
    <col min="15" max="15" width="3.5546875" customWidth="1"/>
    <col min="16" max="16" width="4.33203125" customWidth="1"/>
    <col min="17" max="17" width="2.109375" customWidth="1"/>
    <col min="18" max="18" width="4.33203125" customWidth="1"/>
    <col min="19" max="19" width="3.33203125" customWidth="1"/>
    <col min="20" max="20" width="2.5546875" customWidth="1"/>
    <col min="22" max="22" width="9.109375" bestFit="1" customWidth="1"/>
    <col min="23" max="23" width="10.6640625" customWidth="1"/>
    <col min="24" max="24" width="9.77734375" customWidth="1"/>
    <col min="25" max="25" width="8.88671875" customWidth="1"/>
  </cols>
  <sheetData>
    <row r="1" spans="1:27" ht="14.4" customHeight="1">
      <c r="A1" s="142"/>
      <c r="B1" s="142"/>
      <c r="C1" s="223" t="s">
        <v>202</v>
      </c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142"/>
      <c r="T1" s="142"/>
    </row>
    <row r="2" spans="1:27" ht="11.4" customHeight="1">
      <c r="A2" s="142"/>
      <c r="B2" s="141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141"/>
      <c r="T2" s="142"/>
    </row>
    <row r="3" spans="1:27" ht="18.600000000000001" customHeight="1">
      <c r="A3" s="141"/>
      <c r="B3" s="141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141"/>
      <c r="T3" s="141"/>
    </row>
    <row r="4" spans="1:27" ht="13.2" customHeight="1">
      <c r="A4" s="141"/>
      <c r="B4" s="141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141"/>
      <c r="T4" s="141"/>
    </row>
    <row r="5" spans="1:27" ht="13.8" customHeight="1">
      <c r="A5" s="142"/>
      <c r="B5" s="141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141"/>
      <c r="T5" s="142"/>
    </row>
    <row r="6" spans="1:27" ht="13.2" customHeight="1">
      <c r="A6" s="142"/>
      <c r="B6" s="142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142"/>
      <c r="T6" s="142"/>
    </row>
    <row r="7" spans="1:27" ht="15" thickBot="1"/>
    <row r="8" spans="1:27" ht="29.4" thickBot="1">
      <c r="B8" s="7" t="s">
        <v>179</v>
      </c>
      <c r="C8" s="7" t="s">
        <v>169</v>
      </c>
      <c r="V8" s="195" t="s">
        <v>200</v>
      </c>
      <c r="W8" s="195" t="s">
        <v>293</v>
      </c>
      <c r="X8" s="224" t="s">
        <v>174</v>
      </c>
      <c r="Y8" s="225"/>
    </row>
    <row r="9" spans="1:27" ht="15" thickBot="1">
      <c r="C9" s="83" t="s">
        <v>170</v>
      </c>
      <c r="D9" s="86" t="s">
        <v>118</v>
      </c>
      <c r="E9" s="83" t="s">
        <v>171</v>
      </c>
      <c r="V9" s="197">
        <v>2016</v>
      </c>
      <c r="W9" s="200">
        <v>-8.8635000000000005E-2</v>
      </c>
      <c r="X9" s="16">
        <f>1+W9</f>
        <v>0.91136499999999998</v>
      </c>
      <c r="Y9" s="203">
        <f>((PRODUCT(X9:X19))^(1/COUNT(X9:X19)))-1</f>
        <v>0.10787338642702426</v>
      </c>
      <c r="AA9" s="39"/>
    </row>
    <row r="10" spans="1:27">
      <c r="C10" s="98" t="s">
        <v>172</v>
      </c>
      <c r="D10" s="122">
        <v>6.5092999999999998E-2</v>
      </c>
      <c r="E10" s="98" t="s">
        <v>173</v>
      </c>
      <c r="V10" s="198">
        <v>2017</v>
      </c>
      <c r="W10" s="201">
        <v>0.18548400000000001</v>
      </c>
      <c r="X10" s="16">
        <f t="shared" ref="X10:X19" si="0">1+W10</f>
        <v>1.185484</v>
      </c>
      <c r="Y10" s="71"/>
    </row>
    <row r="11" spans="1:27">
      <c r="C11" s="99" t="s">
        <v>174</v>
      </c>
      <c r="D11" s="112">
        <f>Y9</f>
        <v>0.10787338642702426</v>
      </c>
      <c r="E11" s="99" t="s">
        <v>196</v>
      </c>
      <c r="V11" s="198">
        <v>2018</v>
      </c>
      <c r="W11" s="201">
        <v>0.102461</v>
      </c>
      <c r="X11" s="16">
        <f t="shared" si="0"/>
        <v>1.1024609999999999</v>
      </c>
      <c r="Y11" s="71"/>
    </row>
    <row r="12" spans="1:27">
      <c r="C12" s="99" t="s">
        <v>175</v>
      </c>
      <c r="D12" s="112">
        <f>D11-D10</f>
        <v>4.2780386427024267E-2</v>
      </c>
      <c r="E12" s="99" t="s">
        <v>176</v>
      </c>
      <c r="V12" s="198">
        <v>2019</v>
      </c>
      <c r="W12" s="201">
        <v>0.14399300000000001</v>
      </c>
      <c r="X12" s="16">
        <f t="shared" si="0"/>
        <v>1.143993</v>
      </c>
      <c r="Y12" s="71"/>
    </row>
    <row r="13" spans="1:27">
      <c r="C13" s="99" t="s">
        <v>177</v>
      </c>
      <c r="D13" s="112">
        <v>0.25169999999999998</v>
      </c>
      <c r="E13" s="99" t="s">
        <v>178</v>
      </c>
      <c r="V13" s="198">
        <v>2020</v>
      </c>
      <c r="W13" s="201">
        <v>-0.25689299999999998</v>
      </c>
      <c r="X13" s="16">
        <f t="shared" si="0"/>
        <v>0.74310699999999996</v>
      </c>
      <c r="Y13" s="71"/>
    </row>
    <row r="14" spans="1:27" ht="15" thickBot="1">
      <c r="C14" s="26"/>
      <c r="D14" s="31"/>
      <c r="E14" s="26"/>
      <c r="V14" s="198">
        <v>2021</v>
      </c>
      <c r="W14" s="201">
        <v>0.70866799999999996</v>
      </c>
      <c r="X14" s="16">
        <f t="shared" si="0"/>
        <v>1.7086679999999999</v>
      </c>
      <c r="Y14" s="71"/>
    </row>
    <row r="15" spans="1:27" ht="15" thickBot="1">
      <c r="B15" s="7" t="s">
        <v>113</v>
      </c>
      <c r="C15" s="97" t="s">
        <v>195</v>
      </c>
      <c r="V15" s="198">
        <v>2022</v>
      </c>
      <c r="W15" s="201">
        <v>0.18883</v>
      </c>
      <c r="X15" s="16">
        <f t="shared" si="0"/>
        <v>1.1888300000000001</v>
      </c>
      <c r="Y15" s="71"/>
    </row>
    <row r="16" spans="1:27" ht="15" thickBot="1">
      <c r="C16" s="83" t="s">
        <v>170</v>
      </c>
      <c r="D16" s="86" t="s">
        <v>118</v>
      </c>
      <c r="E16" s="83" t="s">
        <v>180</v>
      </c>
      <c r="V16" s="198">
        <v>2023</v>
      </c>
      <c r="W16" s="201">
        <v>-6.012E-3</v>
      </c>
      <c r="X16" s="16">
        <f t="shared" si="0"/>
        <v>0.99398799999999998</v>
      </c>
      <c r="Y16" s="71"/>
    </row>
    <row r="17" spans="2:25">
      <c r="C17" s="98" t="s">
        <v>181</v>
      </c>
      <c r="D17" s="125">
        <f>'BETA Calculation'!L12</f>
        <v>0.69019308126611856</v>
      </c>
      <c r="E17" s="98" t="s">
        <v>182</v>
      </c>
      <c r="V17" s="198">
        <v>2024</v>
      </c>
      <c r="W17" s="201">
        <v>0.28613</v>
      </c>
      <c r="X17" s="16">
        <f t="shared" si="0"/>
        <v>1.28613</v>
      </c>
      <c r="Y17" s="71"/>
    </row>
    <row r="18" spans="2:25">
      <c r="C18" s="99" t="s">
        <v>183</v>
      </c>
      <c r="D18" s="112">
        <f>D10+(D12*D17)</f>
        <v>9.4619726725823111E-2</v>
      </c>
      <c r="E18" s="99" t="s">
        <v>184</v>
      </c>
      <c r="V18" s="198">
        <v>2025</v>
      </c>
      <c r="W18" s="201">
        <v>5.3408999999999998E-2</v>
      </c>
      <c r="X18" s="16">
        <f t="shared" si="0"/>
        <v>1.053409</v>
      </c>
      <c r="Y18" s="71"/>
    </row>
    <row r="19" spans="2:25" ht="15" thickBot="1">
      <c r="C19" s="99" t="s">
        <v>185</v>
      </c>
      <c r="D19" s="112">
        <f>'Raw Sheet'!I144</f>
        <v>8.2077207906150043E-2</v>
      </c>
      <c r="E19" s="99" t="s">
        <v>186</v>
      </c>
      <c r="V19" s="199">
        <v>2026</v>
      </c>
      <c r="W19" s="202">
        <v>0.114102</v>
      </c>
      <c r="X19" s="196">
        <f t="shared" si="0"/>
        <v>1.1141019999999999</v>
      </c>
      <c r="Y19" s="88"/>
    </row>
    <row r="20" spans="2:25" ht="15" thickBot="1">
      <c r="C20" s="99" t="s">
        <v>187</v>
      </c>
      <c r="D20" s="112">
        <f>D19*(1-'Raw Sheet'!L18)</f>
        <v>6.1418374676172074E-2</v>
      </c>
      <c r="E20" s="99" t="s">
        <v>188</v>
      </c>
    </row>
    <row r="21" spans="2:25" ht="15" thickBot="1">
      <c r="C21" s="99" t="s">
        <v>189</v>
      </c>
      <c r="D21" s="124">
        <v>1548282.27</v>
      </c>
      <c r="E21" s="99" t="s">
        <v>190</v>
      </c>
      <c r="V21" s="137" t="s">
        <v>281</v>
      </c>
      <c r="W21" s="140">
        <f>DCF!D14</f>
        <v>2.5000000000000001E-2</v>
      </c>
    </row>
    <row r="22" spans="2:25" ht="15" thickBot="1">
      <c r="C22" s="99" t="s">
        <v>191</v>
      </c>
      <c r="D22" s="114">
        <f>'Raw Sheet'!I141</f>
        <v>547930.89260000002</v>
      </c>
      <c r="E22" s="99" t="s">
        <v>192</v>
      </c>
      <c r="Y22" s="7" t="s">
        <v>309</v>
      </c>
    </row>
    <row r="23" spans="2:25" ht="15" thickBot="1">
      <c r="C23" s="99" t="s">
        <v>203</v>
      </c>
      <c r="D23" s="16">
        <f>1/2.09</f>
        <v>0.47846889952153115</v>
      </c>
      <c r="E23" s="99" t="s">
        <v>193</v>
      </c>
      <c r="V23" s="241">
        <f>DCF!D59</f>
        <v>1440.0758733235705</v>
      </c>
      <c r="W23" s="242">
        <v>0.02</v>
      </c>
      <c r="X23" s="242">
        <v>2.5000000000000001E-2</v>
      </c>
      <c r="Y23" s="109">
        <v>0.03</v>
      </c>
    </row>
    <row r="24" spans="2:25" ht="15" thickBot="1">
      <c r="C24" s="99" t="s">
        <v>204</v>
      </c>
      <c r="D24" s="16">
        <f>1.09/2.09</f>
        <v>0.52153110047846896</v>
      </c>
      <c r="E24" s="99" t="s">
        <v>194</v>
      </c>
      <c r="V24" s="242">
        <v>7.46E-2</v>
      </c>
      <c r="W24" s="243">
        <f t="dataTable" ref="W24:Y28" dt2D="1" dtr="1" r1="W21" r2="D18"/>
        <v>2108.2482752940632</v>
      </c>
      <c r="X24" s="241">
        <v>2108.2482752940632</v>
      </c>
      <c r="Y24" s="244">
        <v>2108.2482752940632</v>
      </c>
    </row>
    <row r="25" spans="2:25" ht="15" thickBot="1">
      <c r="C25" s="26"/>
      <c r="D25" s="31"/>
      <c r="E25" s="26"/>
      <c r="V25" s="43">
        <v>8.4599999999999995E-2</v>
      </c>
      <c r="W25" s="240">
        <v>1721.0657184991881</v>
      </c>
      <c r="X25" s="75">
        <v>1721.0657184991881</v>
      </c>
      <c r="Y25" s="71">
        <v>1721.0657184991881</v>
      </c>
    </row>
    <row r="26" spans="2:25" ht="15" thickBot="1">
      <c r="B26" s="7" t="s">
        <v>201</v>
      </c>
      <c r="C26" s="97" t="s">
        <v>202</v>
      </c>
      <c r="V26" s="242">
        <v>9.4600000000000004E-2</v>
      </c>
      <c r="W26" s="243">
        <v>1440.5539921592897</v>
      </c>
      <c r="X26" s="241">
        <v>1440.5539921592897</v>
      </c>
      <c r="Y26" s="244">
        <v>1440.5539921592897</v>
      </c>
    </row>
    <row r="27" spans="2:25" ht="15" thickBot="1">
      <c r="C27" s="126" t="s">
        <v>205</v>
      </c>
      <c r="D27" s="136">
        <f>D18*D23+D20*D24</f>
        <v>7.7304189053995553E-2</v>
      </c>
      <c r="V27" s="242">
        <v>0.1046</v>
      </c>
      <c r="W27" s="243">
        <v>1226.6846633168893</v>
      </c>
      <c r="X27" s="241">
        <v>1226.6846633168893</v>
      </c>
      <c r="Y27" s="244">
        <v>1226.6846633168893</v>
      </c>
    </row>
    <row r="28" spans="2:25" ht="15" thickBot="1">
      <c r="V28" s="45">
        <v>0.11459999999999999</v>
      </c>
      <c r="W28" s="196">
        <v>1057.2925452140776</v>
      </c>
      <c r="X28" s="171">
        <v>1057.2925452140776</v>
      </c>
      <c r="Y28" s="88">
        <v>1057.2925452140776</v>
      </c>
    </row>
  </sheetData>
  <mergeCells count="2">
    <mergeCell ref="C1:R6"/>
    <mergeCell ref="X8:Y8"/>
  </mergeCells>
  <conditionalFormatting sqref="W24:Y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5597-C110-4DA5-83FC-CE995A2C512F}">
  <dimension ref="A1:T166"/>
  <sheetViews>
    <sheetView showGridLines="0" zoomScaleNormal="100" workbookViewId="0">
      <selection activeCell="H7" sqref="H7"/>
    </sheetView>
  </sheetViews>
  <sheetFormatPr defaultRowHeight="14.4"/>
  <cols>
    <col min="1" max="2" width="3.5546875" customWidth="1"/>
    <col min="3" max="3" width="2" customWidth="1"/>
    <col min="5" max="5" width="11.5546875" bestFit="1" customWidth="1"/>
    <col min="6" max="6" width="18.44140625" customWidth="1"/>
    <col min="7" max="7" width="12.5546875" bestFit="1" customWidth="1"/>
    <col min="8" max="8" width="18.109375" bestFit="1" customWidth="1"/>
    <col min="9" max="9" width="4" customWidth="1"/>
    <col min="10" max="10" width="16.33203125" customWidth="1"/>
    <col min="11" max="11" width="6.88671875" customWidth="1"/>
    <col min="12" max="12" width="10.44140625" customWidth="1"/>
    <col min="13" max="13" width="4.6640625" customWidth="1"/>
    <col min="14" max="14" width="3.5546875" customWidth="1"/>
    <col min="15" max="15" width="4" customWidth="1"/>
    <col min="16" max="16" width="3.33203125" customWidth="1"/>
    <col min="17" max="17" width="1.6640625" customWidth="1"/>
    <col min="18" max="18" width="4.109375" customWidth="1"/>
    <col min="19" max="19" width="3.6640625" customWidth="1"/>
    <col min="20" max="20" width="3.21875" customWidth="1"/>
  </cols>
  <sheetData>
    <row r="1" spans="1:20" ht="16.8" customHeight="1">
      <c r="A1" s="142"/>
      <c r="B1" s="142"/>
      <c r="C1" s="226" t="s">
        <v>238</v>
      </c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142"/>
      <c r="T1" s="142"/>
    </row>
    <row r="2" spans="1:20" ht="13.8" customHeight="1">
      <c r="A2" s="142"/>
      <c r="B2" s="141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141"/>
      <c r="T2" s="142"/>
    </row>
    <row r="3" spans="1:20" ht="14.4" customHeight="1">
      <c r="A3" s="141"/>
      <c r="B3" s="141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141"/>
      <c r="T3" s="141"/>
    </row>
    <row r="4" spans="1:20" ht="15.6" customHeight="1">
      <c r="A4" s="141"/>
      <c r="B4" s="141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141"/>
      <c r="T4" s="141"/>
    </row>
    <row r="5" spans="1:20" ht="13.2" customHeight="1">
      <c r="A5" s="142"/>
      <c r="B5" s="141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141"/>
      <c r="T5" s="142"/>
    </row>
    <row r="6" spans="1:20" ht="15.6" customHeight="1">
      <c r="A6" s="142"/>
      <c r="B6" s="142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142"/>
      <c r="T6" s="142"/>
    </row>
    <row r="9" spans="1:20" ht="15" thickBot="1">
      <c r="D9" s="8" t="s">
        <v>148</v>
      </c>
      <c r="E9" s="8" t="s">
        <v>149</v>
      </c>
      <c r="F9" s="8" t="s">
        <v>150</v>
      </c>
      <c r="G9" s="8" t="s">
        <v>151</v>
      </c>
      <c r="H9" s="8" t="s">
        <v>152</v>
      </c>
    </row>
    <row r="10" spans="1:20">
      <c r="D10" s="85">
        <v>44893</v>
      </c>
      <c r="E10" s="89">
        <v>773.28472900390625</v>
      </c>
      <c r="F10" s="90"/>
      <c r="G10" s="89">
        <v>18696.099609375</v>
      </c>
      <c r="H10" s="90"/>
      <c r="J10" s="94" t="s">
        <v>153</v>
      </c>
      <c r="K10" s="105" t="s">
        <v>165</v>
      </c>
      <c r="L10" s="93">
        <f>SLOPE(F10:F166,H10:H166)</f>
        <v>0.93376750646154361</v>
      </c>
      <c r="M10" s="91"/>
      <c r="N10" s="91"/>
    </row>
    <row r="11" spans="1:20" ht="15.6">
      <c r="D11" s="85">
        <v>44900</v>
      </c>
      <c r="E11" s="89">
        <v>784.8087158203125</v>
      </c>
      <c r="F11" s="92">
        <f>LN(E11/E10)</f>
        <v>1.4792690383704295E-2</v>
      </c>
      <c r="G11" s="89">
        <v>18496.599609375</v>
      </c>
      <c r="H11" s="92">
        <f>LN(G11/G10)</f>
        <v>-1.0728014775115258E-2</v>
      </c>
      <c r="J11" s="95" t="s">
        <v>154</v>
      </c>
      <c r="K11" s="107" t="s">
        <v>166</v>
      </c>
      <c r="L11" s="108">
        <f>L10/(1+(1-'Raw Sheet'!L18)*Ratios!H33)</f>
        <v>0.37970608411386036</v>
      </c>
      <c r="M11" s="14"/>
    </row>
    <row r="12" spans="1:20" ht="16.2" thickBot="1">
      <c r="D12" s="85">
        <v>44907</v>
      </c>
      <c r="E12" s="89">
        <v>788.94671630859375</v>
      </c>
      <c r="F12" s="92">
        <f t="shared" ref="F12:F75" si="0">LN(E12/E11)</f>
        <v>5.2587713949106404E-3</v>
      </c>
      <c r="G12" s="89">
        <v>18269</v>
      </c>
      <c r="H12" s="92">
        <f t="shared" ref="H12:H75" si="1">LN(G12/G11)</f>
        <v>-1.2381275937007226E-2</v>
      </c>
      <c r="J12" s="96" t="s">
        <v>305</v>
      </c>
      <c r="K12" s="106" t="s">
        <v>167</v>
      </c>
      <c r="L12" s="111">
        <f>L11*(1+(1-'Raw Sheet'!L18)*Ratios!H34)</f>
        <v>0.69019308126611856</v>
      </c>
      <c r="M12" s="14"/>
    </row>
    <row r="13" spans="1:20">
      <c r="D13" s="85">
        <v>44914</v>
      </c>
      <c r="E13" s="89">
        <v>768.7376708984375</v>
      </c>
      <c r="F13" s="92">
        <f t="shared" si="0"/>
        <v>-2.5949004233277881E-2</v>
      </c>
      <c r="G13" s="89">
        <v>17806.80078125</v>
      </c>
      <c r="H13" s="92">
        <f t="shared" si="1"/>
        <v>-2.5625183662800994E-2</v>
      </c>
      <c r="L13" s="14"/>
      <c r="M13" s="14"/>
    </row>
    <row r="14" spans="1:20">
      <c r="D14" s="85">
        <v>44921</v>
      </c>
      <c r="E14" s="89">
        <v>783.413330078125</v>
      </c>
      <c r="F14" s="92">
        <f t="shared" si="0"/>
        <v>1.8910655623405482E-2</v>
      </c>
      <c r="G14" s="89">
        <v>18105.30078125</v>
      </c>
      <c r="H14" s="92">
        <f t="shared" si="1"/>
        <v>1.6624305547324001E-2</v>
      </c>
      <c r="L14" s="14"/>
      <c r="M14" s="14"/>
    </row>
    <row r="15" spans="1:20">
      <c r="D15" s="85">
        <v>44928</v>
      </c>
      <c r="E15" s="89">
        <v>767.17388916015625</v>
      </c>
      <c r="F15" s="92">
        <f t="shared" si="0"/>
        <v>-2.0946947711175723E-2</v>
      </c>
      <c r="G15" s="89">
        <v>17859.44921875</v>
      </c>
      <c r="H15" s="92">
        <f t="shared" si="1"/>
        <v>-1.3672020081918283E-2</v>
      </c>
      <c r="L15" s="14"/>
      <c r="M15" s="14"/>
    </row>
    <row r="16" spans="1:20">
      <c r="D16" s="85">
        <v>44935</v>
      </c>
      <c r="E16" s="89">
        <v>770.18121337890625</v>
      </c>
      <c r="F16" s="92">
        <f t="shared" si="0"/>
        <v>3.912340161002302E-3</v>
      </c>
      <c r="G16" s="89">
        <v>17956.599609375</v>
      </c>
      <c r="H16" s="92">
        <f t="shared" si="1"/>
        <v>5.4249774650189462E-3</v>
      </c>
      <c r="L16" s="14"/>
      <c r="M16" s="14"/>
    </row>
    <row r="17" spans="4:13">
      <c r="D17" s="85">
        <v>44942</v>
      </c>
      <c r="E17" s="89">
        <v>799.19549560546875</v>
      </c>
      <c r="F17" s="92">
        <f t="shared" si="0"/>
        <v>3.6979761979506531E-2</v>
      </c>
      <c r="G17" s="89">
        <v>18027.650390625</v>
      </c>
      <c r="H17" s="92">
        <f t="shared" si="1"/>
        <v>3.9489984414821759E-3</v>
      </c>
      <c r="L17" s="14"/>
      <c r="M17" s="14"/>
    </row>
    <row r="18" spans="4:13">
      <c r="D18" s="85">
        <v>44949</v>
      </c>
      <c r="E18" s="89">
        <v>777.47088623046875</v>
      </c>
      <c r="F18" s="92">
        <f t="shared" si="0"/>
        <v>-2.7559393199614406E-2</v>
      </c>
      <c r="G18" s="89">
        <v>17604.349609375</v>
      </c>
      <c r="H18" s="92">
        <f t="shared" si="1"/>
        <v>-2.3760703656417779E-2</v>
      </c>
      <c r="L18" s="14"/>
      <c r="M18" s="14"/>
    </row>
    <row r="19" spans="4:13">
      <c r="D19" s="85">
        <v>44956</v>
      </c>
      <c r="E19" s="89">
        <v>798.1610107421875</v>
      </c>
      <c r="F19" s="92">
        <f t="shared" si="0"/>
        <v>2.6264146955214084E-2</v>
      </c>
      <c r="G19" s="89">
        <v>17854.05078125</v>
      </c>
      <c r="H19" s="92">
        <f t="shared" si="1"/>
        <v>1.4084408596592969E-2</v>
      </c>
      <c r="L19" s="14"/>
      <c r="M19" s="14"/>
    </row>
    <row r="20" spans="4:13">
      <c r="D20" s="85">
        <v>44963</v>
      </c>
      <c r="E20" s="89">
        <v>797.34307861328125</v>
      </c>
      <c r="F20" s="92">
        <f t="shared" si="0"/>
        <v>-1.0252962759747305E-3</v>
      </c>
      <c r="G20" s="89">
        <v>17856.5</v>
      </c>
      <c r="H20" s="92">
        <f t="shared" si="1"/>
        <v>1.3717059525870983E-4</v>
      </c>
      <c r="L20" s="14"/>
      <c r="M20" s="14"/>
    </row>
    <row r="21" spans="4:13">
      <c r="D21" s="85">
        <v>44970</v>
      </c>
      <c r="E21" s="89">
        <v>796.76568603515625</v>
      </c>
      <c r="F21" s="92">
        <f t="shared" si="0"/>
        <v>-7.2440804062953344E-4</v>
      </c>
      <c r="G21" s="89">
        <v>17944.19921875</v>
      </c>
      <c r="H21" s="92">
        <f t="shared" si="1"/>
        <v>4.899311805968024E-3</v>
      </c>
      <c r="L21" s="14"/>
      <c r="M21" s="14"/>
    </row>
    <row r="22" spans="4:13">
      <c r="D22" s="85">
        <v>44977</v>
      </c>
      <c r="E22" s="89">
        <v>764.551513671875</v>
      </c>
      <c r="F22" s="92">
        <f t="shared" si="0"/>
        <v>-4.1271235355315933E-2</v>
      </c>
      <c r="G22" s="89">
        <v>17465.80078125</v>
      </c>
      <c r="H22" s="92">
        <f t="shared" si="1"/>
        <v>-2.7022171567421843E-2</v>
      </c>
      <c r="L22" s="14"/>
      <c r="M22" s="14"/>
    </row>
    <row r="23" spans="4:13">
      <c r="D23" s="85">
        <v>44984</v>
      </c>
      <c r="E23" s="89">
        <v>777.51898193359375</v>
      </c>
      <c r="F23" s="92">
        <f t="shared" si="0"/>
        <v>1.6818652545024161E-2</v>
      </c>
      <c r="G23" s="89">
        <v>17594.349609375</v>
      </c>
      <c r="H23" s="92">
        <f t="shared" si="1"/>
        <v>7.3330777387591037E-3</v>
      </c>
      <c r="L23" s="14"/>
      <c r="M23" s="14"/>
    </row>
    <row r="24" spans="4:13">
      <c r="D24" s="85">
        <v>44991</v>
      </c>
      <c r="E24" s="89">
        <v>764.40716552734375</v>
      </c>
      <c r="F24" s="92">
        <f t="shared" si="0"/>
        <v>-1.7007471441079173E-2</v>
      </c>
      <c r="G24" s="89">
        <v>17412.900390625</v>
      </c>
      <c r="H24" s="92">
        <f t="shared" si="1"/>
        <v>-1.0366472298253299E-2</v>
      </c>
      <c r="L24" s="14"/>
      <c r="M24" s="14"/>
    </row>
    <row r="25" spans="4:13">
      <c r="D25" s="85">
        <v>44998</v>
      </c>
      <c r="E25" s="89">
        <v>756.70843505859375</v>
      </c>
      <c r="F25" s="92">
        <f t="shared" si="0"/>
        <v>-1.0122565574980213E-2</v>
      </c>
      <c r="G25" s="89">
        <v>17100.05078125</v>
      </c>
      <c r="H25" s="92">
        <f t="shared" si="1"/>
        <v>-1.8129900110076789E-2</v>
      </c>
      <c r="L25" s="14"/>
      <c r="M25" s="14"/>
    </row>
    <row r="26" spans="4:13">
      <c r="D26" s="85">
        <v>45005</v>
      </c>
      <c r="E26" s="89">
        <v>750.93450927734375</v>
      </c>
      <c r="F26" s="92">
        <f t="shared" si="0"/>
        <v>-7.6595775308475897E-3</v>
      </c>
      <c r="G26" s="89">
        <v>16945.05078125</v>
      </c>
      <c r="H26" s="92">
        <f t="shared" si="1"/>
        <v>-9.1056312854503347E-3</v>
      </c>
      <c r="L26" s="14"/>
      <c r="M26" s="14"/>
    </row>
    <row r="27" spans="4:13">
      <c r="D27" s="85">
        <v>45012</v>
      </c>
      <c r="E27" s="89">
        <v>774.46356201171875</v>
      </c>
      <c r="F27" s="92">
        <f t="shared" si="0"/>
        <v>3.0852168367161367E-2</v>
      </c>
      <c r="G27" s="89">
        <v>17359.75</v>
      </c>
      <c r="H27" s="92">
        <f t="shared" si="1"/>
        <v>2.4178506324353831E-2</v>
      </c>
      <c r="L27" s="14"/>
      <c r="M27" s="14"/>
    </row>
    <row r="28" spans="4:13">
      <c r="D28" s="85">
        <v>45019</v>
      </c>
      <c r="E28" s="89">
        <v>801.79388427734375</v>
      </c>
      <c r="F28" s="92">
        <f t="shared" si="0"/>
        <v>3.4680961049727434E-2</v>
      </c>
      <c r="G28" s="89">
        <v>17599.150390625</v>
      </c>
      <c r="H28" s="92">
        <f t="shared" si="1"/>
        <v>1.3696319412120656E-2</v>
      </c>
      <c r="L28" s="14"/>
      <c r="M28" s="14"/>
    </row>
    <row r="29" spans="4:13">
      <c r="D29" s="85">
        <v>45026</v>
      </c>
      <c r="E29" s="89">
        <v>814.35235595703125</v>
      </c>
      <c r="F29" s="92">
        <f t="shared" si="0"/>
        <v>1.5541569379698056E-2</v>
      </c>
      <c r="G29" s="89">
        <v>17828</v>
      </c>
      <c r="H29" s="92">
        <f t="shared" si="1"/>
        <v>1.2919627465337792E-2</v>
      </c>
      <c r="L29" s="14"/>
      <c r="M29" s="14"/>
    </row>
    <row r="30" spans="4:13">
      <c r="D30" s="85">
        <v>45033</v>
      </c>
      <c r="E30" s="89">
        <v>805.7635498046875</v>
      </c>
      <c r="F30" s="92">
        <f t="shared" si="0"/>
        <v>-1.0602805125327299E-2</v>
      </c>
      <c r="G30" s="89">
        <v>17624.05078125</v>
      </c>
      <c r="H30" s="92">
        <f t="shared" si="1"/>
        <v>-1.1505764219262851E-2</v>
      </c>
      <c r="L30" s="14"/>
      <c r="M30" s="14"/>
    </row>
    <row r="31" spans="4:13">
      <c r="D31" s="85">
        <v>45040</v>
      </c>
      <c r="E31" s="89">
        <v>812.01861572265625</v>
      </c>
      <c r="F31" s="92">
        <f t="shared" si="0"/>
        <v>7.7329287234810607E-3</v>
      </c>
      <c r="G31" s="89">
        <v>18065</v>
      </c>
      <c r="H31" s="92">
        <f t="shared" si="1"/>
        <v>2.4711873734557039E-2</v>
      </c>
      <c r="L31" s="14"/>
      <c r="M31" s="14"/>
    </row>
    <row r="32" spans="4:13">
      <c r="D32" s="85">
        <v>45047</v>
      </c>
      <c r="E32" s="89">
        <v>782.21038818359375</v>
      </c>
      <c r="F32" s="92">
        <f t="shared" si="0"/>
        <v>-3.7399522706841277E-2</v>
      </c>
      <c r="G32" s="89">
        <v>18069</v>
      </c>
      <c r="H32" s="92">
        <f t="shared" si="1"/>
        <v>2.2139813009027577E-4</v>
      </c>
      <c r="L32" s="14"/>
      <c r="M32" s="14"/>
    </row>
    <row r="33" spans="4:13">
      <c r="D33" s="85">
        <v>45054</v>
      </c>
      <c r="E33" s="89">
        <v>802.49163818359375</v>
      </c>
      <c r="F33" s="92">
        <f t="shared" si="0"/>
        <v>2.5597692282104716E-2</v>
      </c>
      <c r="G33" s="89">
        <v>18314.80078125</v>
      </c>
      <c r="H33" s="92">
        <f t="shared" si="1"/>
        <v>1.3511756087297691E-2</v>
      </c>
      <c r="L33" s="14"/>
      <c r="M33" s="14"/>
    </row>
    <row r="34" spans="4:13">
      <c r="D34" s="85">
        <v>45061</v>
      </c>
      <c r="E34" s="89">
        <v>792.43524169921875</v>
      </c>
      <c r="F34" s="92">
        <f t="shared" si="0"/>
        <v>-1.2610646772501932E-2</v>
      </c>
      <c r="G34" s="89">
        <v>18203.400390625</v>
      </c>
      <c r="H34" s="92">
        <f t="shared" si="1"/>
        <v>-6.1011075359360826E-3</v>
      </c>
      <c r="L34" s="14"/>
      <c r="M34" s="14"/>
    </row>
    <row r="35" spans="4:13">
      <c r="D35" s="85">
        <v>45068</v>
      </c>
      <c r="E35" s="89">
        <v>786.3868408203125</v>
      </c>
      <c r="F35" s="92">
        <f t="shared" si="0"/>
        <v>-7.6619532186575894E-3</v>
      </c>
      <c r="G35" s="89">
        <v>18499.349609375</v>
      </c>
      <c r="H35" s="92">
        <f t="shared" si="1"/>
        <v>1.6127163935228311E-2</v>
      </c>
      <c r="L35" s="14"/>
      <c r="M35" s="14"/>
    </row>
    <row r="36" spans="4:13">
      <c r="D36" s="85">
        <v>45075</v>
      </c>
      <c r="E36" s="89">
        <v>781.86065673828125</v>
      </c>
      <c r="F36" s="92">
        <f t="shared" si="0"/>
        <v>-5.7722988961394286E-3</v>
      </c>
      <c r="G36" s="89">
        <v>18534.099609375</v>
      </c>
      <c r="H36" s="92">
        <f t="shared" si="1"/>
        <v>1.876682347014462E-3</v>
      </c>
      <c r="L36" s="14"/>
      <c r="M36" s="14"/>
    </row>
    <row r="37" spans="4:13">
      <c r="D37" s="85">
        <v>45082</v>
      </c>
      <c r="E37" s="89">
        <v>783.8560791015625</v>
      </c>
      <c r="F37" s="92">
        <f t="shared" si="0"/>
        <v>2.548894570693815E-3</v>
      </c>
      <c r="G37" s="89">
        <v>18563.400390625</v>
      </c>
      <c r="H37" s="92">
        <f t="shared" si="1"/>
        <v>1.5796637155033671E-3</v>
      </c>
      <c r="L37" s="14"/>
      <c r="M37" s="14"/>
    </row>
    <row r="38" spans="4:13">
      <c r="D38" s="85">
        <v>45089</v>
      </c>
      <c r="E38" s="89">
        <v>780.0355224609375</v>
      </c>
      <c r="F38" s="92">
        <f t="shared" si="0"/>
        <v>-4.8859706611268398E-3</v>
      </c>
      <c r="G38" s="89">
        <v>18826</v>
      </c>
      <c r="H38" s="92">
        <f t="shared" si="1"/>
        <v>1.4046971846227071E-2</v>
      </c>
      <c r="L38" s="14"/>
      <c r="M38" s="14"/>
    </row>
    <row r="39" spans="4:13">
      <c r="D39" s="85">
        <v>45096</v>
      </c>
      <c r="E39" s="89">
        <v>799.8680419921875</v>
      </c>
      <c r="F39" s="92">
        <f t="shared" si="0"/>
        <v>2.5107306289589008E-2</v>
      </c>
      <c r="G39" s="89">
        <v>18665.5</v>
      </c>
      <c r="H39" s="92">
        <f t="shared" si="1"/>
        <v>-8.5619930111953402E-3</v>
      </c>
      <c r="L39" s="14"/>
      <c r="M39" s="14"/>
    </row>
    <row r="40" spans="4:13">
      <c r="D40" s="85">
        <v>45103</v>
      </c>
      <c r="E40" s="89">
        <v>828.047119140625</v>
      </c>
      <c r="F40" s="92">
        <f t="shared" si="0"/>
        <v>3.4623293387950713E-2</v>
      </c>
      <c r="G40" s="89">
        <v>19189.05078125</v>
      </c>
      <c r="H40" s="92">
        <f t="shared" si="1"/>
        <v>2.7662944443192467E-2</v>
      </c>
      <c r="L40" s="14"/>
      <c r="M40" s="14"/>
    </row>
    <row r="41" spans="4:13">
      <c r="D41" s="85">
        <v>45110</v>
      </c>
      <c r="E41" s="89">
        <v>808.093017578125</v>
      </c>
      <c r="F41" s="92">
        <f t="shared" si="0"/>
        <v>-2.4392887280560962E-2</v>
      </c>
      <c r="G41" s="89">
        <v>19331.80078125</v>
      </c>
      <c r="H41" s="92">
        <f t="shared" si="1"/>
        <v>7.4116042439118929E-3</v>
      </c>
      <c r="L41" s="14"/>
      <c r="M41" s="14"/>
    </row>
    <row r="42" spans="4:13">
      <c r="D42" s="85">
        <v>45117</v>
      </c>
      <c r="E42" s="89">
        <v>800.354736328125</v>
      </c>
      <c r="F42" s="92">
        <f t="shared" si="0"/>
        <v>-9.6221228639089707E-3</v>
      </c>
      <c r="G42" s="89">
        <v>19564.5</v>
      </c>
      <c r="H42" s="92">
        <f t="shared" si="1"/>
        <v>1.1965250695372963E-2</v>
      </c>
      <c r="L42" s="14"/>
      <c r="M42" s="14"/>
    </row>
    <row r="43" spans="4:13">
      <c r="D43" s="85">
        <v>45124</v>
      </c>
      <c r="E43" s="89">
        <v>815.56365966796875</v>
      </c>
      <c r="F43" s="92">
        <f t="shared" si="0"/>
        <v>1.8824431349242568E-2</v>
      </c>
      <c r="G43" s="89">
        <v>19745</v>
      </c>
      <c r="H43" s="92">
        <f t="shared" si="1"/>
        <v>9.1835952423022955E-3</v>
      </c>
      <c r="L43" s="14"/>
      <c r="M43" s="14"/>
    </row>
    <row r="44" spans="4:13">
      <c r="D44" s="85">
        <v>45131</v>
      </c>
      <c r="E44" s="89">
        <v>799.8680419921875</v>
      </c>
      <c r="F44" s="92">
        <f t="shared" si="0"/>
        <v>-1.9432714592723457E-2</v>
      </c>
      <c r="G44" s="89">
        <v>19646.05078125</v>
      </c>
      <c r="H44" s="92">
        <f t="shared" si="1"/>
        <v>-5.0239546755729888E-3</v>
      </c>
      <c r="L44" s="14"/>
      <c r="M44" s="14"/>
    </row>
    <row r="45" spans="4:13">
      <c r="D45" s="85">
        <v>45138</v>
      </c>
      <c r="E45" s="89">
        <v>804.1021728515625</v>
      </c>
      <c r="F45" s="92">
        <f t="shared" si="0"/>
        <v>5.2795752132255942E-3</v>
      </c>
      <c r="G45" s="89">
        <v>19517</v>
      </c>
      <c r="H45" s="92">
        <f t="shared" si="1"/>
        <v>-6.5904594139750269E-3</v>
      </c>
      <c r="L45" s="14"/>
      <c r="M45" s="14"/>
    </row>
    <row r="46" spans="4:13">
      <c r="D46" s="85">
        <v>45145</v>
      </c>
      <c r="E46" s="89">
        <v>787.846923828125</v>
      </c>
      <c r="F46" s="92">
        <f t="shared" si="0"/>
        <v>-2.0422529880278754E-2</v>
      </c>
      <c r="G46" s="89">
        <v>19428.30078125</v>
      </c>
      <c r="H46" s="92">
        <f t="shared" si="1"/>
        <v>-4.5550744421928822E-3</v>
      </c>
      <c r="L46" s="14"/>
      <c r="M46" s="14"/>
    </row>
    <row r="47" spans="4:13">
      <c r="D47" s="85">
        <v>45152</v>
      </c>
      <c r="E47" s="89">
        <v>774.1953125</v>
      </c>
      <c r="F47" s="92">
        <f t="shared" si="0"/>
        <v>-1.7479628397598142E-2</v>
      </c>
      <c r="G47" s="89">
        <v>19310.150390625</v>
      </c>
      <c r="H47" s="92">
        <f t="shared" si="1"/>
        <v>-6.0999215717639672E-3</v>
      </c>
      <c r="L47" s="14"/>
      <c r="M47" s="14"/>
    </row>
    <row r="48" spans="4:13">
      <c r="D48" s="85">
        <v>45159</v>
      </c>
      <c r="E48" s="89">
        <v>759.95977783203125</v>
      </c>
      <c r="F48" s="92">
        <f t="shared" si="0"/>
        <v>-1.8558675513538195E-2</v>
      </c>
      <c r="G48" s="89">
        <v>19265.80078125</v>
      </c>
      <c r="H48" s="92">
        <f t="shared" si="1"/>
        <v>-2.299340784468504E-3</v>
      </c>
      <c r="L48" s="14"/>
      <c r="M48" s="14"/>
    </row>
    <row r="49" spans="4:13">
      <c r="D49" s="85">
        <v>45166</v>
      </c>
      <c r="E49" s="89">
        <v>766.384033203125</v>
      </c>
      <c r="F49" s="92">
        <f t="shared" si="0"/>
        <v>8.4178849617654525E-3</v>
      </c>
      <c r="G49" s="89">
        <v>19435.30078125</v>
      </c>
      <c r="H49" s="92">
        <f t="shared" si="1"/>
        <v>8.7594966008349533E-3</v>
      </c>
      <c r="L49" s="14"/>
      <c r="M49" s="14"/>
    </row>
    <row r="50" spans="4:13">
      <c r="D50" s="85">
        <v>45173</v>
      </c>
      <c r="E50" s="89">
        <v>790.08563232421875</v>
      </c>
      <c r="F50" s="92">
        <f t="shared" si="0"/>
        <v>3.0457941997427435E-2</v>
      </c>
      <c r="G50" s="89">
        <v>19819.94921875</v>
      </c>
      <c r="H50" s="92">
        <f t="shared" si="1"/>
        <v>1.9597926325491122E-2</v>
      </c>
      <c r="L50" s="14"/>
      <c r="M50" s="14"/>
    </row>
    <row r="51" spans="4:13">
      <c r="D51" s="85">
        <v>45180</v>
      </c>
      <c r="E51" s="89">
        <v>808.75006103515625</v>
      </c>
      <c r="F51" s="92">
        <f t="shared" si="0"/>
        <v>2.3348586349787613E-2</v>
      </c>
      <c r="G51" s="89">
        <v>20192.349609375</v>
      </c>
      <c r="H51" s="92">
        <f t="shared" si="1"/>
        <v>1.8614833683878812E-2</v>
      </c>
      <c r="L51" s="14"/>
      <c r="M51" s="14"/>
    </row>
    <row r="52" spans="4:13">
      <c r="D52" s="85">
        <v>45187</v>
      </c>
      <c r="E52" s="89">
        <v>744.4588623046875</v>
      </c>
      <c r="F52" s="92">
        <f t="shared" si="0"/>
        <v>-8.2832326153367775E-2</v>
      </c>
      <c r="G52" s="89">
        <v>19674.25</v>
      </c>
      <c r="H52" s="92">
        <f t="shared" si="1"/>
        <v>-2.5993126324856498E-2</v>
      </c>
      <c r="L52" s="14"/>
      <c r="M52" s="14"/>
    </row>
    <row r="53" spans="4:13">
      <c r="D53" s="85">
        <v>45194</v>
      </c>
      <c r="E53" s="89">
        <v>742.82843017578125</v>
      </c>
      <c r="F53" s="92">
        <f t="shared" si="0"/>
        <v>-2.19249204948677E-3</v>
      </c>
      <c r="G53" s="89">
        <v>19638.30078125</v>
      </c>
      <c r="H53" s="92">
        <f t="shared" si="1"/>
        <v>-1.8288932188822776E-3</v>
      </c>
      <c r="L53" s="14"/>
      <c r="M53" s="14"/>
    </row>
    <row r="54" spans="4:13">
      <c r="D54" s="85">
        <v>45201</v>
      </c>
      <c r="E54" s="89">
        <v>746.600341796875</v>
      </c>
      <c r="F54" s="92">
        <f t="shared" si="0"/>
        <v>5.0649212041646002E-3</v>
      </c>
      <c r="G54" s="89">
        <v>19653.5</v>
      </c>
      <c r="H54" s="92">
        <f t="shared" si="1"/>
        <v>7.7365858555276197E-4</v>
      </c>
      <c r="L54" s="14"/>
      <c r="M54" s="14"/>
    </row>
    <row r="55" spans="4:13">
      <c r="D55" s="85">
        <v>45208</v>
      </c>
      <c r="E55" s="89">
        <v>747.4276123046875</v>
      </c>
      <c r="F55" s="92">
        <f t="shared" si="0"/>
        <v>1.1074365644758815E-3</v>
      </c>
      <c r="G55" s="89">
        <v>19751.05078125</v>
      </c>
      <c r="H55" s="92">
        <f t="shared" si="1"/>
        <v>4.9512545431080902E-3</v>
      </c>
      <c r="L55" s="14"/>
      <c r="M55" s="14"/>
    </row>
    <row r="56" spans="4:13">
      <c r="D56" s="85">
        <v>45215</v>
      </c>
      <c r="E56" s="89">
        <v>741.12506103515625</v>
      </c>
      <c r="F56" s="92">
        <f t="shared" si="0"/>
        <v>-8.4680764671341332E-3</v>
      </c>
      <c r="G56" s="89">
        <v>19542.650390625</v>
      </c>
      <c r="H56" s="92">
        <f t="shared" si="1"/>
        <v>-1.0607417395675306E-2</v>
      </c>
      <c r="L56" s="14"/>
      <c r="M56" s="14"/>
    </row>
    <row r="57" spans="4:13">
      <c r="D57" s="85">
        <v>45222</v>
      </c>
      <c r="E57" s="89">
        <v>715.01434326171875</v>
      </c>
      <c r="F57" s="92">
        <f t="shared" si="0"/>
        <v>-3.5866781383569059E-2</v>
      </c>
      <c r="G57" s="89">
        <v>19047.25</v>
      </c>
      <c r="H57" s="92">
        <f t="shared" si="1"/>
        <v>-2.5676542453229614E-2</v>
      </c>
      <c r="L57" s="14"/>
      <c r="M57" s="14"/>
    </row>
    <row r="58" spans="4:13">
      <c r="D58" s="85">
        <v>45229</v>
      </c>
      <c r="E58" s="89">
        <v>722.1199951171875</v>
      </c>
      <c r="F58" s="92">
        <f t="shared" si="0"/>
        <v>9.8887203079843135E-3</v>
      </c>
      <c r="G58" s="89">
        <v>19230.599609375</v>
      </c>
      <c r="H58" s="92">
        <f t="shared" si="1"/>
        <v>9.5800058524493671E-3</v>
      </c>
      <c r="L58" s="14"/>
      <c r="M58" s="14"/>
    </row>
    <row r="59" spans="4:13">
      <c r="D59" s="85">
        <v>45236</v>
      </c>
      <c r="E59" s="89">
        <v>725.89178466796875</v>
      </c>
      <c r="F59" s="92">
        <f t="shared" si="0"/>
        <v>5.2096234768521038E-3</v>
      </c>
      <c r="G59" s="89">
        <v>19425.349609375</v>
      </c>
      <c r="H59" s="92">
        <f t="shared" si="1"/>
        <v>1.007615395106313E-2</v>
      </c>
      <c r="L59" s="14"/>
      <c r="M59" s="14"/>
    </row>
    <row r="60" spans="4:13">
      <c r="D60" s="85">
        <v>45243</v>
      </c>
      <c r="E60" s="89">
        <v>732.5107421875</v>
      </c>
      <c r="F60" s="92">
        <f t="shared" si="0"/>
        <v>9.0770591025446361E-3</v>
      </c>
      <c r="G60" s="89">
        <v>19731.80078125</v>
      </c>
      <c r="H60" s="92">
        <f t="shared" si="1"/>
        <v>1.5652693093210032E-2</v>
      </c>
      <c r="L60" s="14"/>
      <c r="M60" s="14"/>
    </row>
    <row r="61" spans="4:13">
      <c r="D61" s="85">
        <v>45250</v>
      </c>
      <c r="E61" s="89">
        <v>745.65118408203125</v>
      </c>
      <c r="F61" s="92">
        <f t="shared" si="0"/>
        <v>1.777990330781307E-2</v>
      </c>
      <c r="G61" s="89">
        <v>19794.69921875</v>
      </c>
      <c r="H61" s="92">
        <f t="shared" si="1"/>
        <v>3.1825985397729091E-3</v>
      </c>
      <c r="L61" s="14"/>
      <c r="M61" s="14"/>
    </row>
    <row r="62" spans="4:13">
      <c r="D62" s="85">
        <v>45257</v>
      </c>
      <c r="E62" s="89">
        <v>756.99102783203125</v>
      </c>
      <c r="F62" s="92">
        <f t="shared" si="0"/>
        <v>1.5093491903873569E-2</v>
      </c>
      <c r="G62" s="89">
        <v>20267.900390625</v>
      </c>
      <c r="H62" s="92">
        <f t="shared" si="1"/>
        <v>2.3624187355293595E-2</v>
      </c>
      <c r="L62" s="14"/>
      <c r="M62" s="14"/>
    </row>
    <row r="63" spans="4:13">
      <c r="D63" s="85">
        <v>45264</v>
      </c>
      <c r="E63" s="89">
        <v>804.5888671875</v>
      </c>
      <c r="F63" s="92">
        <f t="shared" si="0"/>
        <v>6.0980021866193584E-2</v>
      </c>
      <c r="G63" s="89">
        <v>20969.400390625</v>
      </c>
      <c r="H63" s="92">
        <f t="shared" si="1"/>
        <v>3.4025877840882984E-2</v>
      </c>
      <c r="L63" s="14"/>
      <c r="M63" s="14"/>
    </row>
    <row r="64" spans="4:13">
      <c r="D64" s="85">
        <v>45271</v>
      </c>
      <c r="E64" s="89">
        <v>806.21929931640625</v>
      </c>
      <c r="F64" s="92">
        <f t="shared" si="0"/>
        <v>2.0243660537744845E-3</v>
      </c>
      <c r="G64" s="89">
        <v>21456.650390625</v>
      </c>
      <c r="H64" s="92">
        <f t="shared" si="1"/>
        <v>2.297038801253171E-2</v>
      </c>
      <c r="L64" s="14"/>
      <c r="M64" s="14"/>
    </row>
    <row r="65" spans="4:13">
      <c r="D65" s="85">
        <v>45278</v>
      </c>
      <c r="E65" s="89">
        <v>813.17889404296875</v>
      </c>
      <c r="F65" s="92">
        <f t="shared" si="0"/>
        <v>8.5953381976839813E-3</v>
      </c>
      <c r="G65" s="89">
        <v>21349.400390625</v>
      </c>
      <c r="H65" s="92">
        <f t="shared" si="1"/>
        <v>-5.0109843100585348E-3</v>
      </c>
      <c r="L65" s="14"/>
      <c r="M65" s="14"/>
    </row>
    <row r="66" spans="4:13">
      <c r="D66" s="85">
        <v>45285</v>
      </c>
      <c r="E66" s="89">
        <v>831.86761474609375</v>
      </c>
      <c r="F66" s="92">
        <f t="shared" si="0"/>
        <v>2.2722184053639956E-2</v>
      </c>
      <c r="G66" s="89">
        <v>21731.400390625</v>
      </c>
      <c r="H66" s="92">
        <f t="shared" si="1"/>
        <v>1.7734582695505034E-2</v>
      </c>
      <c r="L66" s="14"/>
      <c r="M66" s="14"/>
    </row>
    <row r="67" spans="4:13">
      <c r="D67" s="85">
        <v>45292</v>
      </c>
      <c r="E67" s="89">
        <v>818.7027587890625</v>
      </c>
      <c r="F67" s="92">
        <f t="shared" si="0"/>
        <v>-1.5952225173190539E-2</v>
      </c>
      <c r="G67" s="89">
        <v>21710.80078125</v>
      </c>
      <c r="H67" s="92">
        <f t="shared" si="1"/>
        <v>-9.4836865367134318E-4</v>
      </c>
      <c r="L67" s="14"/>
      <c r="M67" s="14"/>
    </row>
    <row r="68" spans="4:13">
      <c r="D68" s="85">
        <v>45299</v>
      </c>
      <c r="E68" s="89">
        <v>798.74859619140625</v>
      </c>
      <c r="F68" s="92">
        <f t="shared" si="0"/>
        <v>-2.4674837912514624E-2</v>
      </c>
      <c r="G68" s="89">
        <v>21894.55078125</v>
      </c>
      <c r="H68" s="92">
        <f t="shared" si="1"/>
        <v>8.4279145131203013E-3</v>
      </c>
      <c r="L68" s="14"/>
      <c r="M68" s="14"/>
    </row>
    <row r="69" spans="4:13">
      <c r="D69" s="85">
        <v>45306</v>
      </c>
      <c r="E69" s="89">
        <v>715.744384765625</v>
      </c>
      <c r="F69" s="92">
        <f t="shared" si="0"/>
        <v>-0.10972314948127522</v>
      </c>
      <c r="G69" s="89">
        <v>21622.400390625</v>
      </c>
      <c r="H69" s="92">
        <f t="shared" si="1"/>
        <v>-1.2507950645485908E-2</v>
      </c>
      <c r="L69" s="14"/>
      <c r="M69" s="14"/>
    </row>
    <row r="70" spans="4:13">
      <c r="D70" s="85">
        <v>45313</v>
      </c>
      <c r="E70" s="89">
        <v>698.34539794921875</v>
      </c>
      <c r="F70" s="92">
        <f t="shared" si="0"/>
        <v>-2.4609278863586184E-2</v>
      </c>
      <c r="G70" s="89">
        <v>21352.599609375</v>
      </c>
      <c r="H70" s="92">
        <f t="shared" si="1"/>
        <v>-1.2556338615946204E-2</v>
      </c>
      <c r="L70" s="14"/>
      <c r="M70" s="14"/>
    </row>
    <row r="71" spans="4:13">
      <c r="D71" s="85">
        <v>45320</v>
      </c>
      <c r="E71" s="89">
        <v>703.82061767578125</v>
      </c>
      <c r="F71" s="92">
        <f t="shared" si="0"/>
        <v>7.8096994135732787E-3</v>
      </c>
      <c r="G71" s="89">
        <v>21853.80078125</v>
      </c>
      <c r="H71" s="92">
        <f t="shared" si="1"/>
        <v>2.3201361387360068E-2</v>
      </c>
      <c r="L71" s="14"/>
      <c r="M71" s="14"/>
    </row>
    <row r="72" spans="4:13">
      <c r="D72" s="85">
        <v>45327</v>
      </c>
      <c r="E72" s="89">
        <v>683.112060546875</v>
      </c>
      <c r="F72" s="92">
        <f t="shared" si="0"/>
        <v>-2.9864602060582803E-2</v>
      </c>
      <c r="G72" s="89">
        <v>21782.5</v>
      </c>
      <c r="H72" s="92">
        <f t="shared" si="1"/>
        <v>-3.2679600895832565E-3</v>
      </c>
      <c r="L72" s="14"/>
      <c r="M72" s="14"/>
    </row>
    <row r="73" spans="4:13">
      <c r="D73" s="85">
        <v>45334</v>
      </c>
      <c r="E73" s="89">
        <v>691.04510498046875</v>
      </c>
      <c r="F73" s="92">
        <f t="shared" si="0"/>
        <v>1.1546179381426821E-2</v>
      </c>
      <c r="G73" s="89">
        <v>22040.69921875</v>
      </c>
      <c r="H73" s="92">
        <f t="shared" si="1"/>
        <v>1.1783813646838998E-2</v>
      </c>
      <c r="L73" s="14"/>
      <c r="M73" s="14"/>
    </row>
    <row r="74" spans="4:13">
      <c r="D74" s="85">
        <v>45341</v>
      </c>
      <c r="E74" s="89">
        <v>691.3857421875</v>
      </c>
      <c r="F74" s="92">
        <f t="shared" si="0"/>
        <v>4.9280904664850134E-4</v>
      </c>
      <c r="G74" s="89">
        <v>22212.69921875</v>
      </c>
      <c r="H74" s="92">
        <f t="shared" si="1"/>
        <v>7.7734534379924761E-3</v>
      </c>
      <c r="L74" s="14"/>
      <c r="M74" s="14"/>
    </row>
    <row r="75" spans="4:13">
      <c r="D75" s="85">
        <v>45348</v>
      </c>
      <c r="E75" s="89">
        <v>696.32562255859375</v>
      </c>
      <c r="F75" s="92">
        <f t="shared" si="0"/>
        <v>7.1194938115996696E-3</v>
      </c>
      <c r="G75" s="89">
        <v>22338.75</v>
      </c>
      <c r="H75" s="92">
        <f t="shared" si="1"/>
        <v>5.6586764207333844E-3</v>
      </c>
      <c r="L75" s="14"/>
      <c r="M75" s="14"/>
    </row>
    <row r="76" spans="4:13">
      <c r="D76" s="85">
        <v>45355</v>
      </c>
      <c r="E76" s="89">
        <v>703.7962646484375</v>
      </c>
      <c r="F76" s="92">
        <f t="shared" ref="F76:F139" si="2">LN(E76/E75)</f>
        <v>1.0671518037351422E-2</v>
      </c>
      <c r="G76" s="89">
        <v>22493.55078125</v>
      </c>
      <c r="H76" s="92">
        <f t="shared" ref="H76:H139" si="3">LN(G76/G75)</f>
        <v>6.9057975502729704E-3</v>
      </c>
      <c r="L76" s="14"/>
      <c r="M76" s="14"/>
    </row>
    <row r="77" spans="4:13">
      <c r="D77" s="85">
        <v>45362</v>
      </c>
      <c r="E77" s="89">
        <v>706.98406982421875</v>
      </c>
      <c r="F77" s="92">
        <f t="shared" si="2"/>
        <v>4.5192161009717478E-3</v>
      </c>
      <c r="G77" s="89">
        <v>22023.349609375</v>
      </c>
      <c r="H77" s="92">
        <f t="shared" si="3"/>
        <v>-2.1125399769481894E-2</v>
      </c>
      <c r="L77" s="14"/>
      <c r="M77" s="14"/>
    </row>
    <row r="78" spans="4:13">
      <c r="D78" s="85">
        <v>45369</v>
      </c>
      <c r="E78" s="89">
        <v>702.2144775390625</v>
      </c>
      <c r="F78" s="92">
        <f t="shared" si="2"/>
        <v>-6.7692526465704663E-3</v>
      </c>
      <c r="G78" s="89">
        <v>22096.75</v>
      </c>
      <c r="H78" s="92">
        <f t="shared" si="3"/>
        <v>3.3273024763077067E-3</v>
      </c>
      <c r="L78" s="14"/>
      <c r="M78" s="14"/>
    </row>
    <row r="79" spans="4:13">
      <c r="D79" s="85">
        <v>45376</v>
      </c>
      <c r="E79" s="89">
        <v>704.67230224609375</v>
      </c>
      <c r="F79" s="92">
        <f t="shared" si="2"/>
        <v>3.4939943181956832E-3</v>
      </c>
      <c r="G79" s="89">
        <v>22326.900390625</v>
      </c>
      <c r="H79" s="92">
        <f t="shared" si="3"/>
        <v>1.0361708133941248E-2</v>
      </c>
      <c r="L79" s="14"/>
      <c r="M79" s="14"/>
    </row>
    <row r="80" spans="4:13">
      <c r="D80" s="85">
        <v>45383</v>
      </c>
      <c r="E80" s="89">
        <v>754.1439208984375</v>
      </c>
      <c r="F80" s="92">
        <f t="shared" si="2"/>
        <v>6.7850351075370796E-2</v>
      </c>
      <c r="G80" s="89">
        <v>22513.69921875</v>
      </c>
      <c r="H80" s="92">
        <f t="shared" si="3"/>
        <v>8.3317310806333613E-3</v>
      </c>
      <c r="L80" s="14"/>
      <c r="M80" s="14"/>
    </row>
    <row r="81" spans="4:13">
      <c r="D81" s="85">
        <v>45390</v>
      </c>
      <c r="E81" s="89">
        <v>739.25128173828125</v>
      </c>
      <c r="F81" s="92">
        <f t="shared" si="2"/>
        <v>-1.994533374936882E-2</v>
      </c>
      <c r="G81" s="89">
        <v>22519.400390625</v>
      </c>
      <c r="H81" s="92">
        <f t="shared" si="3"/>
        <v>2.5319917815619223E-4</v>
      </c>
      <c r="L81" s="14"/>
      <c r="M81" s="14"/>
    </row>
    <row r="82" spans="4:13">
      <c r="D82" s="85">
        <v>45397</v>
      </c>
      <c r="E82" s="89">
        <v>745.26190185546875</v>
      </c>
      <c r="F82" s="92">
        <f t="shared" si="2"/>
        <v>8.0978101493172638E-3</v>
      </c>
      <c r="G82" s="89">
        <v>22147</v>
      </c>
      <c r="H82" s="92">
        <f t="shared" si="3"/>
        <v>-1.6675130140991323E-2</v>
      </c>
      <c r="L82" s="14"/>
      <c r="M82" s="14"/>
    </row>
    <row r="83" spans="4:13">
      <c r="D83" s="85">
        <v>45404</v>
      </c>
      <c r="E83" s="89">
        <v>734.79815673828125</v>
      </c>
      <c r="F83" s="92">
        <f t="shared" si="2"/>
        <v>-1.4139857900265226E-2</v>
      </c>
      <c r="G83" s="89">
        <v>22419.94921875</v>
      </c>
      <c r="H83" s="92">
        <f t="shared" si="3"/>
        <v>1.2249105505970748E-2</v>
      </c>
      <c r="L83" s="14"/>
      <c r="M83" s="14"/>
    </row>
    <row r="84" spans="4:13">
      <c r="D84" s="85">
        <v>45411</v>
      </c>
      <c r="E84" s="89">
        <v>739.56756591796875</v>
      </c>
      <c r="F84" s="92">
        <f t="shared" si="2"/>
        <v>6.4698001900130421E-3</v>
      </c>
      <c r="G84" s="89">
        <v>22475.849609375</v>
      </c>
      <c r="H84" s="92">
        <f t="shared" si="3"/>
        <v>2.490229418866488E-3</v>
      </c>
      <c r="L84" s="14"/>
      <c r="M84" s="14"/>
    </row>
    <row r="85" spans="4:13">
      <c r="D85" s="85">
        <v>45418</v>
      </c>
      <c r="E85" s="89">
        <v>699.805419921875</v>
      </c>
      <c r="F85" s="92">
        <f t="shared" si="2"/>
        <v>-5.5263320144196604E-2</v>
      </c>
      <c r="G85" s="89">
        <v>22055.19921875</v>
      </c>
      <c r="H85" s="92">
        <f t="shared" si="3"/>
        <v>-1.8893015730749915E-2</v>
      </c>
      <c r="L85" s="14"/>
      <c r="M85" s="14"/>
    </row>
    <row r="86" spans="4:13">
      <c r="D86" s="85">
        <v>45425</v>
      </c>
      <c r="E86" s="89">
        <v>723.2489013671875</v>
      </c>
      <c r="F86" s="92">
        <f t="shared" si="2"/>
        <v>3.2951099970905444E-2</v>
      </c>
      <c r="G86" s="89">
        <v>22466.099609375</v>
      </c>
      <c r="H86" s="92">
        <f t="shared" si="3"/>
        <v>1.8459122661025382E-2</v>
      </c>
      <c r="L86" s="14"/>
      <c r="M86" s="14"/>
    </row>
    <row r="87" spans="4:13">
      <c r="D87" s="85">
        <v>45432</v>
      </c>
      <c r="E87" s="89">
        <v>748.4827880859375</v>
      </c>
      <c r="F87" s="92">
        <f t="shared" si="2"/>
        <v>3.4294783553238894E-2</v>
      </c>
      <c r="G87" s="89">
        <v>22957.099609375</v>
      </c>
      <c r="H87" s="92">
        <f t="shared" si="3"/>
        <v>2.1619750845549682E-2</v>
      </c>
      <c r="L87" s="14"/>
      <c r="M87" s="14"/>
    </row>
    <row r="88" spans="4:13">
      <c r="D88" s="85">
        <v>45439</v>
      </c>
      <c r="E88" s="89">
        <v>755.56207275390625</v>
      </c>
      <c r="F88" s="92">
        <f t="shared" si="2"/>
        <v>9.4137311083560722E-3</v>
      </c>
      <c r="G88" s="89">
        <v>22530.69921875</v>
      </c>
      <c r="H88" s="92">
        <f t="shared" si="3"/>
        <v>-1.8748450866916278E-2</v>
      </c>
      <c r="L88" s="14"/>
      <c r="M88" s="14"/>
    </row>
    <row r="89" spans="4:13">
      <c r="D89" s="85">
        <v>45446</v>
      </c>
      <c r="E89" s="89">
        <v>776.18328857421875</v>
      </c>
      <c r="F89" s="92">
        <f t="shared" si="2"/>
        <v>2.6926749414973878E-2</v>
      </c>
      <c r="G89" s="89">
        <v>23290.150390625</v>
      </c>
      <c r="H89" s="92">
        <f t="shared" si="3"/>
        <v>3.3151752208584344E-2</v>
      </c>
      <c r="L89" s="14"/>
      <c r="M89" s="14"/>
    </row>
    <row r="90" spans="4:13">
      <c r="D90" s="85">
        <v>45453</v>
      </c>
      <c r="E90" s="89">
        <v>787.80133056640625</v>
      </c>
      <c r="F90" s="92">
        <f t="shared" si="2"/>
        <v>1.4857250590648062E-2</v>
      </c>
      <c r="G90" s="89">
        <v>23465.599609375</v>
      </c>
      <c r="H90" s="92">
        <f t="shared" si="3"/>
        <v>7.5049610905962684E-3</v>
      </c>
      <c r="L90" s="14"/>
      <c r="M90" s="14"/>
    </row>
    <row r="91" spans="4:13">
      <c r="D91" s="85">
        <v>45460</v>
      </c>
      <c r="E91" s="89">
        <v>821.7672119140625</v>
      </c>
      <c r="F91" s="92">
        <f t="shared" si="2"/>
        <v>4.2211218263346818E-2</v>
      </c>
      <c r="G91" s="89">
        <v>23501.099609375</v>
      </c>
      <c r="H91" s="92">
        <f t="shared" si="3"/>
        <v>1.5117096730700062E-3</v>
      </c>
      <c r="L91" s="14"/>
      <c r="M91" s="14"/>
    </row>
    <row r="92" spans="4:13">
      <c r="D92" s="85">
        <v>45467</v>
      </c>
      <c r="E92" s="89">
        <v>830.671875</v>
      </c>
      <c r="F92" s="92">
        <f t="shared" si="2"/>
        <v>1.077770352033694E-2</v>
      </c>
      <c r="G92" s="89">
        <v>24010.599609375</v>
      </c>
      <c r="H92" s="92">
        <f t="shared" si="3"/>
        <v>2.1448171296037807E-2</v>
      </c>
      <c r="L92" s="14"/>
      <c r="M92" s="14"/>
    </row>
    <row r="93" spans="4:13">
      <c r="D93" s="85">
        <v>45474</v>
      </c>
      <c r="E93" s="89">
        <v>813.05987548828125</v>
      </c>
      <c r="F93" s="92">
        <f t="shared" si="2"/>
        <v>-2.1430106860760807E-2</v>
      </c>
      <c r="G93" s="89">
        <v>24323.849609375</v>
      </c>
      <c r="H93" s="92">
        <f t="shared" si="3"/>
        <v>1.2961951190875003E-2</v>
      </c>
      <c r="L93" s="14"/>
      <c r="M93" s="14"/>
    </row>
    <row r="94" spans="4:13">
      <c r="D94" s="85">
        <v>45481</v>
      </c>
      <c r="E94" s="89">
        <v>800.52923583984375</v>
      </c>
      <c r="F94" s="92">
        <f t="shared" si="2"/>
        <v>-1.5531700679592456E-2</v>
      </c>
      <c r="G94" s="89">
        <v>24502.150390625</v>
      </c>
      <c r="H94" s="92">
        <f t="shared" si="3"/>
        <v>7.3035503143289368E-3</v>
      </c>
      <c r="L94" s="14"/>
      <c r="M94" s="14"/>
    </row>
    <row r="95" spans="4:13">
      <c r="D95" s="85">
        <v>45488</v>
      </c>
      <c r="E95" s="89">
        <v>792.93194580078125</v>
      </c>
      <c r="F95" s="92">
        <f t="shared" si="2"/>
        <v>-9.5356544535323325E-3</v>
      </c>
      <c r="G95" s="89">
        <v>24530.900390625</v>
      </c>
      <c r="H95" s="92">
        <f t="shared" si="3"/>
        <v>1.1726785438235542E-3</v>
      </c>
      <c r="L95" s="14"/>
      <c r="M95" s="14"/>
    </row>
    <row r="96" spans="4:13">
      <c r="D96" s="85">
        <v>45495</v>
      </c>
      <c r="E96" s="89">
        <v>798.28460693359375</v>
      </c>
      <c r="F96" s="92">
        <f t="shared" si="2"/>
        <v>6.7277848680378375E-3</v>
      </c>
      <c r="G96" s="89">
        <v>24834.849609375</v>
      </c>
      <c r="H96" s="92">
        <f t="shared" si="3"/>
        <v>1.2314329660301711E-2</v>
      </c>
      <c r="L96" s="14"/>
      <c r="M96" s="14"/>
    </row>
    <row r="97" spans="4:13">
      <c r="D97" s="85">
        <v>45502</v>
      </c>
      <c r="E97" s="89">
        <v>818.51123046875</v>
      </c>
      <c r="F97" s="92">
        <f t="shared" si="2"/>
        <v>2.5021933351733815E-2</v>
      </c>
      <c r="G97" s="89">
        <v>24717.69921875</v>
      </c>
      <c r="H97" s="92">
        <f t="shared" si="3"/>
        <v>-4.7283383663671496E-3</v>
      </c>
      <c r="L97" s="14"/>
      <c r="M97" s="14"/>
    </row>
    <row r="98" spans="4:13">
      <c r="D98" s="85">
        <v>45509</v>
      </c>
      <c r="E98" s="89">
        <v>814.09588623046875</v>
      </c>
      <c r="F98" s="92">
        <f t="shared" si="2"/>
        <v>-5.4089620926467451E-3</v>
      </c>
      <c r="G98" s="89">
        <v>24367.5</v>
      </c>
      <c r="H98" s="92">
        <f t="shared" si="3"/>
        <v>-1.426927735347687E-2</v>
      </c>
      <c r="L98" s="14"/>
      <c r="M98" s="14"/>
    </row>
    <row r="99" spans="4:13">
      <c r="D99" s="85">
        <v>45516</v>
      </c>
      <c r="E99" s="89">
        <v>805.16656494140625</v>
      </c>
      <c r="F99" s="92">
        <f t="shared" si="2"/>
        <v>-1.1028986431304032E-2</v>
      </c>
      <c r="G99" s="89">
        <v>24541.150390625</v>
      </c>
      <c r="H99" s="92">
        <f t="shared" si="3"/>
        <v>7.101039138367406E-3</v>
      </c>
      <c r="L99" s="14"/>
      <c r="M99" s="14"/>
    </row>
    <row r="100" spans="4:13">
      <c r="D100" s="85">
        <v>45523</v>
      </c>
      <c r="E100" s="89">
        <v>801.6885986328125</v>
      </c>
      <c r="F100" s="92">
        <f t="shared" si="2"/>
        <v>-4.3289175262601048E-3</v>
      </c>
      <c r="G100" s="89">
        <v>24823.150390625</v>
      </c>
      <c r="H100" s="92">
        <f t="shared" si="3"/>
        <v>1.1425384871522145E-2</v>
      </c>
      <c r="L100" s="14"/>
      <c r="M100" s="14"/>
    </row>
    <row r="101" spans="4:13">
      <c r="D101" s="85">
        <v>45530</v>
      </c>
      <c r="E101" s="89">
        <v>807.53460693359375</v>
      </c>
      <c r="F101" s="92">
        <f t="shared" si="2"/>
        <v>7.2656596027311461E-3</v>
      </c>
      <c r="G101" s="89">
        <v>25235.900390625</v>
      </c>
      <c r="H101" s="92">
        <f t="shared" si="3"/>
        <v>1.6490898147413835E-2</v>
      </c>
      <c r="L101" s="14"/>
      <c r="M101" s="14"/>
    </row>
    <row r="102" spans="4:13">
      <c r="D102" s="85">
        <v>45537</v>
      </c>
      <c r="E102" s="89">
        <v>807.5592041015625</v>
      </c>
      <c r="F102" s="92">
        <f t="shared" si="2"/>
        <v>3.0459119838907987E-5</v>
      </c>
      <c r="G102" s="89">
        <v>24852.150390625</v>
      </c>
      <c r="H102" s="92">
        <f t="shared" si="3"/>
        <v>-1.5323315753812619E-2</v>
      </c>
      <c r="L102" s="14"/>
      <c r="M102" s="14"/>
    </row>
    <row r="103" spans="4:13">
      <c r="D103" s="85">
        <v>45544</v>
      </c>
      <c r="E103" s="89">
        <v>821.8658447265625</v>
      </c>
      <c r="F103" s="92">
        <f t="shared" si="2"/>
        <v>1.7560805625859089E-2</v>
      </c>
      <c r="G103" s="89">
        <v>25356.5</v>
      </c>
      <c r="H103" s="92">
        <f t="shared" si="3"/>
        <v>2.0090823793391815E-2</v>
      </c>
      <c r="L103" s="14"/>
      <c r="M103" s="14"/>
    </row>
    <row r="104" spans="4:13">
      <c r="D104" s="85">
        <v>45551</v>
      </c>
      <c r="E104" s="89">
        <v>858.989013671875</v>
      </c>
      <c r="F104" s="92">
        <f t="shared" si="2"/>
        <v>4.4178956422722952E-2</v>
      </c>
      <c r="G104" s="89">
        <v>25790.94921875</v>
      </c>
      <c r="H104" s="92">
        <f t="shared" si="3"/>
        <v>1.6988517480019696E-2</v>
      </c>
      <c r="L104" s="14"/>
      <c r="M104" s="14"/>
    </row>
    <row r="105" spans="4:13">
      <c r="D105" s="85">
        <v>45558</v>
      </c>
      <c r="E105" s="89">
        <v>864.63775634765625</v>
      </c>
      <c r="F105" s="92">
        <f t="shared" si="2"/>
        <v>6.5545082001066315E-3</v>
      </c>
      <c r="G105" s="89">
        <v>26178.94921875</v>
      </c>
      <c r="H105" s="92">
        <f t="shared" si="3"/>
        <v>1.493199797676698E-2</v>
      </c>
      <c r="L105" s="14"/>
      <c r="M105" s="14"/>
    </row>
    <row r="106" spans="4:13">
      <c r="D106" s="85">
        <v>45565</v>
      </c>
      <c r="E106" s="89">
        <v>817.771240234375</v>
      </c>
      <c r="F106" s="92">
        <f t="shared" si="2"/>
        <v>-5.5728000354586082E-2</v>
      </c>
      <c r="G106" s="89">
        <v>25014.599609375</v>
      </c>
      <c r="H106" s="92">
        <f t="shared" si="3"/>
        <v>-4.5495984092214045E-2</v>
      </c>
      <c r="L106" s="14"/>
      <c r="M106" s="14"/>
    </row>
    <row r="107" spans="4:13">
      <c r="D107" s="85">
        <v>45572</v>
      </c>
      <c r="E107" s="89">
        <v>814.4906005859375</v>
      </c>
      <c r="F107" s="92">
        <f t="shared" si="2"/>
        <v>-4.0197522038258136E-3</v>
      </c>
      <c r="G107" s="89">
        <v>24964.25</v>
      </c>
      <c r="H107" s="92">
        <f t="shared" si="3"/>
        <v>-2.0148373482649345E-3</v>
      </c>
      <c r="L107" s="14"/>
      <c r="M107" s="14"/>
    </row>
    <row r="108" spans="4:13">
      <c r="D108" s="85">
        <v>45579</v>
      </c>
      <c r="E108" s="89">
        <v>829.7098388671875</v>
      </c>
      <c r="F108" s="92">
        <f t="shared" si="2"/>
        <v>1.851316007062568E-2</v>
      </c>
      <c r="G108" s="89">
        <v>24854.05078125</v>
      </c>
      <c r="H108" s="92">
        <f t="shared" si="3"/>
        <v>-4.4240528785190062E-3</v>
      </c>
      <c r="L108" s="14"/>
      <c r="M108" s="14"/>
    </row>
    <row r="109" spans="4:13">
      <c r="D109" s="85">
        <v>45586</v>
      </c>
      <c r="E109" s="89">
        <v>860.07440185546875</v>
      </c>
      <c r="F109" s="92">
        <f t="shared" si="2"/>
        <v>3.5942851347950056E-2</v>
      </c>
      <c r="G109" s="89">
        <v>24180.80078125</v>
      </c>
      <c r="H109" s="92">
        <f t="shared" si="3"/>
        <v>-2.7461786421489665E-2</v>
      </c>
      <c r="L109" s="14"/>
      <c r="M109" s="14"/>
    </row>
    <row r="110" spans="4:13">
      <c r="D110" s="85">
        <v>45593</v>
      </c>
      <c r="E110" s="89">
        <v>857.06512451171875</v>
      </c>
      <c r="F110" s="92">
        <f t="shared" si="2"/>
        <v>-3.504992318074854E-3</v>
      </c>
      <c r="G110" s="89">
        <v>24304.349609375</v>
      </c>
      <c r="H110" s="92">
        <f t="shared" si="3"/>
        <v>5.0963684567480409E-3</v>
      </c>
      <c r="L110" s="14"/>
      <c r="M110" s="14"/>
    </row>
    <row r="111" spans="4:13">
      <c r="D111" s="85">
        <v>45600</v>
      </c>
      <c r="E111" s="89">
        <v>865.52569580078125</v>
      </c>
      <c r="F111" s="92">
        <f t="shared" si="2"/>
        <v>9.823156169567842E-3</v>
      </c>
      <c r="G111" s="89">
        <v>24148.19921875</v>
      </c>
      <c r="H111" s="92">
        <f t="shared" si="3"/>
        <v>-6.4455197921838899E-3</v>
      </c>
      <c r="L111" s="14"/>
      <c r="M111" s="14"/>
    </row>
    <row r="112" spans="4:13">
      <c r="D112" s="85">
        <v>45607</v>
      </c>
      <c r="E112" s="89">
        <v>835.087158203125</v>
      </c>
      <c r="F112" s="92">
        <f t="shared" si="2"/>
        <v>-3.5800962657257344E-2</v>
      </c>
      <c r="G112" s="89">
        <v>23532.69921875</v>
      </c>
      <c r="H112" s="92">
        <f t="shared" si="3"/>
        <v>-2.581890071781575E-2</v>
      </c>
      <c r="L112" s="14"/>
      <c r="M112" s="14"/>
    </row>
    <row r="113" spans="4:13">
      <c r="D113" s="85">
        <v>45614</v>
      </c>
      <c r="E113" s="89">
        <v>861.15972900390625</v>
      </c>
      <c r="F113" s="92">
        <f t="shared" si="2"/>
        <v>3.0743902420687277E-2</v>
      </c>
      <c r="G113" s="89">
        <v>23907.25</v>
      </c>
      <c r="H113" s="92">
        <f t="shared" si="3"/>
        <v>1.5790850128157712E-2</v>
      </c>
      <c r="L113" s="14"/>
      <c r="M113" s="14"/>
    </row>
    <row r="114" spans="4:13">
      <c r="D114" s="85">
        <v>45621</v>
      </c>
      <c r="E114" s="89">
        <v>886.04833984375</v>
      </c>
      <c r="F114" s="92">
        <f t="shared" si="2"/>
        <v>2.8491505854012767E-2</v>
      </c>
      <c r="G114" s="89">
        <v>24131.099609375</v>
      </c>
      <c r="H114" s="92">
        <f t="shared" si="3"/>
        <v>9.3196885999410027E-3</v>
      </c>
      <c r="L114" s="14"/>
      <c r="M114" s="14"/>
    </row>
    <row r="115" spans="4:13">
      <c r="D115" s="85">
        <v>45628</v>
      </c>
      <c r="E115" s="89">
        <v>915.54949951171875</v>
      </c>
      <c r="F115" s="92">
        <f t="shared" si="2"/>
        <v>3.275292217461815E-2</v>
      </c>
      <c r="G115" s="89">
        <v>24677.80078125</v>
      </c>
      <c r="H115" s="92">
        <f t="shared" si="3"/>
        <v>2.2402636899780219E-2</v>
      </c>
      <c r="L115" s="14"/>
      <c r="M115" s="14"/>
    </row>
    <row r="116" spans="4:13">
      <c r="D116" s="85">
        <v>45635</v>
      </c>
      <c r="E116" s="89">
        <v>923.39349365234375</v>
      </c>
      <c r="F116" s="92">
        <f t="shared" si="2"/>
        <v>8.5310330364630309E-3</v>
      </c>
      <c r="G116" s="89">
        <v>24768.30078125</v>
      </c>
      <c r="H116" s="92">
        <f t="shared" si="3"/>
        <v>3.6605555623593611E-3</v>
      </c>
      <c r="L116" s="14"/>
      <c r="M116" s="14"/>
    </row>
    <row r="117" spans="4:13">
      <c r="D117" s="85">
        <v>45642</v>
      </c>
      <c r="E117" s="89">
        <v>873.93701171875</v>
      </c>
      <c r="F117" s="92">
        <f t="shared" si="2"/>
        <v>-5.5047159884137137E-2</v>
      </c>
      <c r="G117" s="89">
        <v>23587.5</v>
      </c>
      <c r="H117" s="92">
        <f t="shared" si="3"/>
        <v>-4.8847730584728133E-2</v>
      </c>
      <c r="L117" s="14"/>
      <c r="M117" s="14"/>
    </row>
    <row r="118" spans="4:13">
      <c r="D118" s="85">
        <v>45649</v>
      </c>
      <c r="E118" s="89">
        <v>887.1336669921875</v>
      </c>
      <c r="F118" s="92">
        <f t="shared" si="2"/>
        <v>1.4987362463727479E-2</v>
      </c>
      <c r="G118" s="89">
        <v>23813.400390625</v>
      </c>
      <c r="H118" s="92">
        <f t="shared" si="3"/>
        <v>9.5315531571977027E-3</v>
      </c>
      <c r="L118" s="14"/>
      <c r="M118" s="14"/>
    </row>
    <row r="119" spans="4:13">
      <c r="D119" s="85">
        <v>45656</v>
      </c>
      <c r="E119" s="89">
        <v>862.9356689453125</v>
      </c>
      <c r="F119" s="92">
        <f t="shared" si="2"/>
        <v>-2.7655521762005784E-2</v>
      </c>
      <c r="G119" s="89">
        <v>24004.75</v>
      </c>
      <c r="H119" s="92">
        <f t="shared" si="3"/>
        <v>8.0032635798264872E-3</v>
      </c>
      <c r="L119" s="14"/>
      <c r="M119" s="14"/>
    </row>
    <row r="120" spans="4:13">
      <c r="D120" s="85">
        <v>45663</v>
      </c>
      <c r="E120" s="89">
        <v>817.32720947265625</v>
      </c>
      <c r="F120" s="92">
        <f t="shared" si="2"/>
        <v>-5.4300628917152149E-2</v>
      </c>
      <c r="G120" s="89">
        <v>23431.5</v>
      </c>
      <c r="H120" s="92">
        <f t="shared" si="3"/>
        <v>-2.4170456474656477E-2</v>
      </c>
      <c r="L120" s="14"/>
      <c r="M120" s="14"/>
    </row>
    <row r="121" spans="4:13">
      <c r="D121" s="85">
        <v>45670</v>
      </c>
      <c r="E121" s="89">
        <v>807.4605712890625</v>
      </c>
      <c r="F121" s="92">
        <f t="shared" si="2"/>
        <v>-1.2145290091650107E-2</v>
      </c>
      <c r="G121" s="89">
        <v>23203.19921875</v>
      </c>
      <c r="H121" s="92">
        <f t="shared" si="3"/>
        <v>-9.7911044318249579E-3</v>
      </c>
      <c r="L121" s="14"/>
      <c r="M121" s="14"/>
    </row>
    <row r="122" spans="4:13">
      <c r="D122" s="85">
        <v>45677</v>
      </c>
      <c r="E122" s="89">
        <v>813.89862060546875</v>
      </c>
      <c r="F122" s="92">
        <f t="shared" si="2"/>
        <v>7.9415877557975651E-3</v>
      </c>
      <c r="G122" s="89">
        <v>23092.19921875</v>
      </c>
      <c r="H122" s="92">
        <f t="shared" si="3"/>
        <v>-4.795302187659548E-3</v>
      </c>
      <c r="L122" s="14"/>
      <c r="M122" s="14"/>
    </row>
    <row r="123" spans="4:13">
      <c r="D123" s="85">
        <v>45684</v>
      </c>
      <c r="E123" s="89">
        <v>834.1990966796875</v>
      </c>
      <c r="F123" s="92">
        <f t="shared" si="2"/>
        <v>2.4636285368578578E-2</v>
      </c>
      <c r="G123" s="89">
        <v>23482.150390625</v>
      </c>
      <c r="H123" s="92">
        <f t="shared" si="3"/>
        <v>1.6745710356603157E-2</v>
      </c>
      <c r="L123" s="14"/>
      <c r="M123" s="14"/>
    </row>
    <row r="124" spans="4:13">
      <c r="D124" s="85">
        <v>45691</v>
      </c>
      <c r="E124" s="89">
        <v>854.82037353515625</v>
      </c>
      <c r="F124" s="92">
        <f t="shared" si="2"/>
        <v>2.4419258528261972E-2</v>
      </c>
      <c r="G124" s="89">
        <v>23559.94921875</v>
      </c>
      <c r="H124" s="92">
        <f t="shared" si="3"/>
        <v>3.3076286858047844E-3</v>
      </c>
      <c r="L124" s="14"/>
      <c r="M124" s="14"/>
    </row>
    <row r="125" spans="4:13">
      <c r="D125" s="85">
        <v>45698</v>
      </c>
      <c r="E125" s="89">
        <v>836.12310791015625</v>
      </c>
      <c r="F125" s="92">
        <f t="shared" si="2"/>
        <v>-2.2115496923313507E-2</v>
      </c>
      <c r="G125" s="89">
        <v>22929.25</v>
      </c>
      <c r="H125" s="92">
        <f t="shared" si="3"/>
        <v>-2.7134815287549744E-2</v>
      </c>
      <c r="L125" s="14"/>
      <c r="M125" s="14"/>
    </row>
    <row r="126" spans="4:13">
      <c r="D126" s="85">
        <v>45705</v>
      </c>
      <c r="E126" s="89">
        <v>834.96380615234375</v>
      </c>
      <c r="F126" s="92">
        <f t="shared" si="2"/>
        <v>-1.3874825229478202E-3</v>
      </c>
      <c r="G126" s="89">
        <v>22795.900390625</v>
      </c>
      <c r="H126" s="92">
        <f t="shared" si="3"/>
        <v>-5.8326757280364331E-3</v>
      </c>
      <c r="L126" s="14"/>
      <c r="M126" s="14"/>
    </row>
    <row r="127" spans="4:13">
      <c r="D127" s="85">
        <v>45712</v>
      </c>
      <c r="E127" s="89">
        <v>854.64776611328125</v>
      </c>
      <c r="F127" s="92">
        <f t="shared" si="2"/>
        <v>2.3301036609821916E-2</v>
      </c>
      <c r="G127" s="89">
        <v>22124.69921875</v>
      </c>
      <c r="H127" s="92">
        <f t="shared" si="3"/>
        <v>-2.9886116195556311E-2</v>
      </c>
      <c r="L127" s="14"/>
      <c r="M127" s="14"/>
    </row>
    <row r="128" spans="4:13">
      <c r="D128" s="85">
        <v>45719</v>
      </c>
      <c r="E128" s="89">
        <v>833.3604736328125</v>
      </c>
      <c r="F128" s="92">
        <f t="shared" si="2"/>
        <v>-2.5223124578658947E-2</v>
      </c>
      <c r="G128" s="89">
        <v>22552.5</v>
      </c>
      <c r="H128" s="92">
        <f t="shared" si="3"/>
        <v>1.9151328379839811E-2</v>
      </c>
      <c r="L128" s="14"/>
      <c r="M128" s="14"/>
    </row>
    <row r="129" spans="4:13">
      <c r="D129" s="85">
        <v>45726</v>
      </c>
      <c r="E129" s="89">
        <v>841.91973876953125</v>
      </c>
      <c r="F129" s="92">
        <f t="shared" si="2"/>
        <v>1.0218397555216838E-2</v>
      </c>
      <c r="G129" s="89">
        <v>22397.19921875</v>
      </c>
      <c r="H129" s="92">
        <f t="shared" si="3"/>
        <v>-6.9100083824066103E-3</v>
      </c>
      <c r="L129" s="14"/>
      <c r="M129" s="14"/>
    </row>
    <row r="130" spans="4:13">
      <c r="D130" s="85">
        <v>45733</v>
      </c>
      <c r="E130" s="89">
        <v>873.36968994140625</v>
      </c>
      <c r="F130" s="92">
        <f t="shared" si="2"/>
        <v>3.6674249352004425E-2</v>
      </c>
      <c r="G130" s="89">
        <v>23350.400390625</v>
      </c>
      <c r="H130" s="92">
        <f t="shared" si="3"/>
        <v>4.1678215151749236E-2</v>
      </c>
      <c r="L130" s="14"/>
      <c r="M130" s="14"/>
    </row>
    <row r="131" spans="4:13">
      <c r="D131" s="85">
        <v>45740</v>
      </c>
      <c r="E131" s="89">
        <v>901.90887451171875</v>
      </c>
      <c r="F131" s="92">
        <f t="shared" si="2"/>
        <v>3.2154551994485393E-2</v>
      </c>
      <c r="G131" s="89">
        <v>23519.349609375</v>
      </c>
      <c r="H131" s="92">
        <f t="shared" si="3"/>
        <v>7.209338667457421E-3</v>
      </c>
      <c r="L131" s="14"/>
      <c r="M131" s="14"/>
    </row>
    <row r="132" spans="4:13">
      <c r="D132" s="85">
        <v>45747</v>
      </c>
      <c r="E132" s="89">
        <v>896.53167724609375</v>
      </c>
      <c r="F132" s="92">
        <f t="shared" si="2"/>
        <v>-5.9798621465113333E-3</v>
      </c>
      <c r="G132" s="89">
        <v>22904.44921875</v>
      </c>
      <c r="H132" s="92">
        <f t="shared" si="3"/>
        <v>-2.649228926854735E-2</v>
      </c>
      <c r="L132" s="14"/>
      <c r="M132" s="14"/>
    </row>
    <row r="133" spans="4:13">
      <c r="D133" s="85">
        <v>45754</v>
      </c>
      <c r="E133" s="89">
        <v>891.32696533203125</v>
      </c>
      <c r="F133" s="92">
        <f t="shared" si="2"/>
        <v>-5.8223021586472799E-3</v>
      </c>
      <c r="G133" s="89">
        <v>22828.55078125</v>
      </c>
      <c r="H133" s="92">
        <f t="shared" si="3"/>
        <v>-3.3192008913334133E-3</v>
      </c>
      <c r="L133" s="14"/>
      <c r="M133" s="14"/>
    </row>
    <row r="134" spans="4:13">
      <c r="D134" s="85">
        <v>45761</v>
      </c>
      <c r="E134" s="89">
        <v>940.63543701171875</v>
      </c>
      <c r="F134" s="92">
        <f t="shared" si="2"/>
        <v>5.3844319088326494E-2</v>
      </c>
      <c r="G134" s="89">
        <v>23851.650390625</v>
      </c>
      <c r="H134" s="92">
        <f t="shared" si="3"/>
        <v>4.3841433882993899E-2</v>
      </c>
      <c r="L134" s="14"/>
      <c r="M134" s="14"/>
    </row>
    <row r="135" spans="4:13">
      <c r="D135" s="85">
        <v>45768</v>
      </c>
      <c r="E135" s="89">
        <v>942.85540771484375</v>
      </c>
      <c r="F135" s="92">
        <f t="shared" si="2"/>
        <v>2.3572949529774797E-3</v>
      </c>
      <c r="G135" s="89">
        <v>24039.349609375</v>
      </c>
      <c r="H135" s="92">
        <f t="shared" si="3"/>
        <v>7.8386410739463216E-3</v>
      </c>
      <c r="L135" s="14"/>
      <c r="M135" s="14"/>
    </row>
    <row r="136" spans="4:13">
      <c r="D136" s="85">
        <v>45775</v>
      </c>
      <c r="E136" s="89">
        <v>948.13415527343761</v>
      </c>
      <c r="F136" s="92">
        <f t="shared" si="2"/>
        <v>5.5830675893046404E-3</v>
      </c>
      <c r="G136" s="89">
        <v>24346.69921875</v>
      </c>
      <c r="H136" s="92">
        <f t="shared" si="3"/>
        <v>1.2704229859426912E-2</v>
      </c>
      <c r="L136" s="14"/>
      <c r="M136" s="14"/>
    </row>
    <row r="137" spans="4:13">
      <c r="D137" s="85">
        <v>45782</v>
      </c>
      <c r="E137" s="89">
        <v>932.248779296875</v>
      </c>
      <c r="F137" s="92">
        <f t="shared" si="2"/>
        <v>-1.6896296602366943E-2</v>
      </c>
      <c r="G137" s="89">
        <v>24008</v>
      </c>
      <c r="H137" s="92">
        <f t="shared" si="3"/>
        <v>-1.4009176503876787E-2</v>
      </c>
      <c r="L137" s="14"/>
      <c r="M137" s="14"/>
    </row>
    <row r="138" spans="4:13">
      <c r="D138" s="85">
        <v>45789</v>
      </c>
      <c r="E138" s="89">
        <v>954.44873046875</v>
      </c>
      <c r="F138" s="92">
        <f t="shared" si="2"/>
        <v>2.3534218585885863E-2</v>
      </c>
      <c r="G138" s="89">
        <v>25019.80078125</v>
      </c>
      <c r="H138" s="92">
        <f t="shared" si="3"/>
        <v>4.1280434488903311E-2</v>
      </c>
      <c r="L138" s="14"/>
      <c r="M138" s="14"/>
    </row>
    <row r="139" spans="4:13">
      <c r="D139" s="85">
        <v>45796</v>
      </c>
      <c r="E139" s="89">
        <v>953.90606689453125</v>
      </c>
      <c r="F139" s="92">
        <f t="shared" si="2"/>
        <v>-5.6872400205180951E-4</v>
      </c>
      <c r="G139" s="89">
        <v>24853.150390625</v>
      </c>
      <c r="H139" s="92">
        <f t="shared" si="3"/>
        <v>-6.6830218370691032E-3</v>
      </c>
      <c r="L139" s="14"/>
      <c r="M139" s="14"/>
    </row>
    <row r="140" spans="4:13">
      <c r="D140" s="85">
        <v>45803</v>
      </c>
      <c r="E140" s="89">
        <v>959.480712890625</v>
      </c>
      <c r="F140" s="92">
        <f t="shared" ref="F140:F166" si="4">LN(E140/E139)</f>
        <v>5.8270098115674384E-3</v>
      </c>
      <c r="G140" s="89">
        <v>24750.69921875</v>
      </c>
      <c r="H140" s="92">
        <f t="shared" ref="H140:H166" si="5">LN(G140/G139)</f>
        <v>-4.1307809116339174E-3</v>
      </c>
      <c r="L140" s="14"/>
      <c r="M140" s="14"/>
    </row>
    <row r="141" spans="4:13">
      <c r="D141" s="85">
        <v>45810</v>
      </c>
      <c r="E141" s="89">
        <v>976.1552734375</v>
      </c>
      <c r="F141" s="92">
        <f t="shared" si="4"/>
        <v>1.7229451358731874E-2</v>
      </c>
      <c r="G141" s="89">
        <v>25003.05078125</v>
      </c>
      <c r="H141" s="92">
        <f t="shared" si="5"/>
        <v>1.0144108794727241E-2</v>
      </c>
      <c r="L141" s="14"/>
      <c r="M141" s="14"/>
    </row>
    <row r="142" spans="4:13">
      <c r="D142" s="85">
        <v>45817</v>
      </c>
      <c r="E142" s="89">
        <v>946.01275634765625</v>
      </c>
      <c r="F142" s="92">
        <f t="shared" si="4"/>
        <v>-3.1365611923915265E-2</v>
      </c>
      <c r="G142" s="89">
        <v>24718.599609375</v>
      </c>
      <c r="H142" s="92">
        <f t="shared" si="5"/>
        <v>-1.1441867794370604E-2</v>
      </c>
      <c r="L142" s="14"/>
      <c r="M142" s="14"/>
    </row>
    <row r="143" spans="4:13">
      <c r="D143" s="85">
        <v>45824</v>
      </c>
      <c r="E143" s="89">
        <v>969.24865722656239</v>
      </c>
      <c r="F143" s="92">
        <f t="shared" si="4"/>
        <v>2.4265137704173028E-2</v>
      </c>
      <c r="G143" s="89">
        <v>25112.400390625</v>
      </c>
      <c r="H143" s="92">
        <f t="shared" si="5"/>
        <v>1.5805782728928641E-2</v>
      </c>
      <c r="L143" s="14"/>
      <c r="M143" s="14"/>
    </row>
    <row r="144" spans="4:13">
      <c r="D144" s="85">
        <v>45831</v>
      </c>
      <c r="E144" s="89">
        <v>994.01397705078125</v>
      </c>
      <c r="F144" s="92">
        <f t="shared" si="4"/>
        <v>2.5230076800609513E-2</v>
      </c>
      <c r="G144" s="89">
        <v>25637.80078125</v>
      </c>
      <c r="H144" s="92">
        <f t="shared" si="5"/>
        <v>2.070609180403855E-2</v>
      </c>
      <c r="L144" s="14"/>
      <c r="M144" s="14"/>
    </row>
    <row r="145" spans="4:13">
      <c r="D145" s="85">
        <v>45838</v>
      </c>
      <c r="E145" s="89">
        <v>992.18096923828125</v>
      </c>
      <c r="F145" s="92">
        <f t="shared" si="4"/>
        <v>-1.8457486626011052E-3</v>
      </c>
      <c r="G145" s="89">
        <v>25461</v>
      </c>
      <c r="H145" s="92">
        <f t="shared" si="5"/>
        <v>-6.9199857559404474E-3</v>
      </c>
      <c r="L145" s="14"/>
      <c r="M145" s="14"/>
    </row>
    <row r="146" spans="4:13">
      <c r="D146" s="85">
        <v>45845</v>
      </c>
      <c r="E146" s="89">
        <v>989.38787841796875</v>
      </c>
      <c r="F146" s="92">
        <f t="shared" si="4"/>
        <v>-2.8190720432238817E-3</v>
      </c>
      <c r="G146" s="89">
        <v>25149.849609375</v>
      </c>
      <c r="H146" s="92">
        <f t="shared" si="5"/>
        <v>-1.2295952874300966E-2</v>
      </c>
      <c r="L146" s="14"/>
      <c r="M146" s="14"/>
    </row>
    <row r="147" spans="4:13">
      <c r="D147" s="85">
        <v>45852</v>
      </c>
      <c r="E147" s="89">
        <v>976.2705078125</v>
      </c>
      <c r="F147" s="92">
        <f t="shared" si="4"/>
        <v>-1.3346739615776515E-2</v>
      </c>
      <c r="G147" s="89">
        <v>24968.400390625</v>
      </c>
      <c r="H147" s="92">
        <f t="shared" si="5"/>
        <v>-7.2408757901743E-3</v>
      </c>
      <c r="L147" s="14"/>
      <c r="M147" s="14"/>
    </row>
    <row r="148" spans="4:13">
      <c r="D148" s="85">
        <v>45859</v>
      </c>
      <c r="E148" s="89">
        <v>999.81195068359375</v>
      </c>
      <c r="F148" s="92">
        <f t="shared" si="4"/>
        <v>2.3827504326832488E-2</v>
      </c>
      <c r="G148" s="89">
        <v>24837</v>
      </c>
      <c r="H148" s="92">
        <f t="shared" si="5"/>
        <v>-5.2765641663956734E-3</v>
      </c>
      <c r="L148" s="14"/>
      <c r="M148" s="14"/>
    </row>
    <row r="149" spans="4:13">
      <c r="D149" s="85">
        <v>45866</v>
      </c>
      <c r="E149" s="89">
        <v>1006.099975585938</v>
      </c>
      <c r="F149" s="92">
        <f t="shared" si="4"/>
        <v>6.2695130497243514E-3</v>
      </c>
      <c r="G149" s="89">
        <v>24565.349609375</v>
      </c>
      <c r="H149" s="92">
        <f t="shared" si="5"/>
        <v>-1.0997579293432086E-2</v>
      </c>
      <c r="L149" s="14"/>
      <c r="M149" s="14"/>
    </row>
    <row r="150" spans="4:13">
      <c r="D150" s="85">
        <v>45873</v>
      </c>
      <c r="E150" s="89">
        <v>986.95001220703125</v>
      </c>
      <c r="F150" s="92">
        <f t="shared" si="4"/>
        <v>-1.9217333074529778E-2</v>
      </c>
      <c r="G150" s="89">
        <v>24363.30078125</v>
      </c>
      <c r="H150" s="92">
        <f t="shared" si="5"/>
        <v>-8.2589638176392265E-3</v>
      </c>
      <c r="L150" s="14"/>
      <c r="M150" s="14"/>
    </row>
    <row r="151" spans="4:13">
      <c r="D151" s="85">
        <v>45880</v>
      </c>
      <c r="E151" s="89">
        <v>995.54998779296875</v>
      </c>
      <c r="F151" s="92">
        <f t="shared" si="4"/>
        <v>8.6759440410124362E-3</v>
      </c>
      <c r="G151" s="89">
        <v>24631.30078125</v>
      </c>
      <c r="H151" s="92">
        <f t="shared" si="5"/>
        <v>1.0940089904821627E-2</v>
      </c>
      <c r="L151" s="14"/>
      <c r="M151" s="14"/>
    </row>
    <row r="152" spans="4:13">
      <c r="D152" s="85">
        <v>45887</v>
      </c>
      <c r="E152" s="89">
        <v>982.29998779296875</v>
      </c>
      <c r="F152" s="92">
        <f t="shared" si="4"/>
        <v>-1.3398587744613369E-2</v>
      </c>
      <c r="G152" s="89">
        <v>24870.099609375</v>
      </c>
      <c r="H152" s="92">
        <f t="shared" si="5"/>
        <v>9.6482393908143282E-3</v>
      </c>
      <c r="L152" s="14"/>
      <c r="M152" s="14"/>
    </row>
    <row r="153" spans="4:13">
      <c r="D153" s="85">
        <v>45894</v>
      </c>
      <c r="E153" s="89">
        <v>951.59997558593761</v>
      </c>
      <c r="F153" s="92">
        <f t="shared" si="4"/>
        <v>-3.1751995480835876E-2</v>
      </c>
      <c r="G153" s="89">
        <v>24426.849609375</v>
      </c>
      <c r="H153" s="92">
        <f t="shared" si="5"/>
        <v>-1.798334187285262E-2</v>
      </c>
      <c r="L153" s="14"/>
      <c r="M153" s="14"/>
    </row>
    <row r="154" spans="4:13">
      <c r="D154" s="85">
        <v>45901</v>
      </c>
      <c r="E154" s="89">
        <v>963.40002441406239</v>
      </c>
      <c r="F154" s="92">
        <f t="shared" si="4"/>
        <v>1.2323966764684691E-2</v>
      </c>
      <c r="G154" s="89">
        <v>24741</v>
      </c>
      <c r="H154" s="92">
        <f t="shared" si="5"/>
        <v>1.2778865382837505E-2</v>
      </c>
      <c r="L154" s="14"/>
      <c r="M154" s="14"/>
    </row>
    <row r="155" spans="4:13">
      <c r="D155" s="85">
        <v>45908</v>
      </c>
      <c r="E155" s="89">
        <v>967.29998779296875</v>
      </c>
      <c r="F155" s="92">
        <f t="shared" si="4"/>
        <v>4.0399530311221359E-3</v>
      </c>
      <c r="G155" s="89">
        <v>25114</v>
      </c>
      <c r="H155" s="92">
        <f t="shared" si="5"/>
        <v>1.4963673047444039E-2</v>
      </c>
      <c r="L155" s="14"/>
      <c r="M155" s="14"/>
    </row>
    <row r="156" spans="4:13">
      <c r="D156" s="85">
        <v>45915</v>
      </c>
      <c r="E156" s="89">
        <v>966.90002441406239</v>
      </c>
      <c r="F156" s="92">
        <f t="shared" si="4"/>
        <v>-4.1356982947262971E-4</v>
      </c>
      <c r="G156" s="89">
        <v>25327.05078125</v>
      </c>
      <c r="H156" s="92">
        <f t="shared" si="5"/>
        <v>8.4475658185121823E-3</v>
      </c>
      <c r="L156" s="14"/>
      <c r="M156" s="14"/>
    </row>
    <row r="157" spans="4:13">
      <c r="D157" s="85">
        <v>45922</v>
      </c>
      <c r="E157" s="89">
        <v>945.04998779296875</v>
      </c>
      <c r="F157" s="92">
        <f t="shared" si="4"/>
        <v>-2.2857279509178124E-2</v>
      </c>
      <c r="G157" s="89">
        <v>24654.69921875</v>
      </c>
      <c r="H157" s="92">
        <f t="shared" si="5"/>
        <v>-2.6905505388153467E-2</v>
      </c>
      <c r="L157" s="14"/>
      <c r="M157" s="14"/>
    </row>
    <row r="158" spans="4:13">
      <c r="D158" s="85">
        <v>45929</v>
      </c>
      <c r="E158" s="89">
        <v>965.15002441406239</v>
      </c>
      <c r="F158" s="92">
        <f t="shared" si="4"/>
        <v>2.104573173934314E-2</v>
      </c>
      <c r="G158" s="89">
        <v>24894.25</v>
      </c>
      <c r="H158" s="92">
        <f t="shared" si="5"/>
        <v>9.6693331117700745E-3</v>
      </c>
      <c r="L158" s="14"/>
      <c r="M158" s="14"/>
    </row>
    <row r="159" spans="4:13">
      <c r="D159" s="85">
        <v>45936</v>
      </c>
      <c r="E159" s="89">
        <v>980.90002441406239</v>
      </c>
      <c r="F159" s="92">
        <f t="shared" si="4"/>
        <v>1.6186987490222057E-2</v>
      </c>
      <c r="G159" s="89">
        <v>25285.349609375</v>
      </c>
      <c r="H159" s="92">
        <f t="shared" si="5"/>
        <v>1.5588308077506189E-2</v>
      </c>
      <c r="L159" s="14"/>
      <c r="M159" s="14"/>
    </row>
    <row r="160" spans="4:13">
      <c r="D160" s="85">
        <v>45943</v>
      </c>
      <c r="E160" s="89">
        <v>1002.549987792969</v>
      </c>
      <c r="F160" s="92">
        <f t="shared" si="4"/>
        <v>2.1831478613010144E-2</v>
      </c>
      <c r="G160" s="89">
        <v>25709.849609375</v>
      </c>
      <c r="H160" s="92">
        <f t="shared" si="5"/>
        <v>1.6649010575060526E-2</v>
      </c>
      <c r="L160" s="14"/>
      <c r="M160" s="14"/>
    </row>
    <row r="161" spans="4:13">
      <c r="D161" s="85">
        <v>45950</v>
      </c>
      <c r="E161" s="89">
        <v>994.75</v>
      </c>
      <c r="F161" s="92">
        <f t="shared" si="4"/>
        <v>-7.8105717656925732E-3</v>
      </c>
      <c r="G161" s="89">
        <v>25795.150390625</v>
      </c>
      <c r="H161" s="92">
        <f t="shared" si="5"/>
        <v>3.3123331420305147E-3</v>
      </c>
      <c r="L161" s="14"/>
      <c r="M161" s="14"/>
    </row>
    <row r="162" spans="4:13">
      <c r="D162" s="85">
        <v>45957</v>
      </c>
      <c r="E162" s="89">
        <v>987.29998779296875</v>
      </c>
      <c r="F162" s="92">
        <f t="shared" si="4"/>
        <v>-7.5175170536889487E-3</v>
      </c>
      <c r="G162" s="89">
        <v>25722.099609375</v>
      </c>
      <c r="H162" s="92">
        <f t="shared" si="5"/>
        <v>-2.8359755309455433E-3</v>
      </c>
      <c r="L162" s="14"/>
      <c r="M162" s="14"/>
    </row>
    <row r="163" spans="4:13">
      <c r="D163" s="85">
        <v>45964</v>
      </c>
      <c r="E163" s="89">
        <v>982.29998779296875</v>
      </c>
      <c r="F163" s="92">
        <f t="shared" si="4"/>
        <v>-5.077183999514223E-3</v>
      </c>
      <c r="G163" s="89">
        <v>25492.30078125</v>
      </c>
      <c r="H163" s="92">
        <f t="shared" si="5"/>
        <v>-8.9740529453147377E-3</v>
      </c>
      <c r="L163" s="14"/>
      <c r="M163" s="14"/>
    </row>
    <row r="164" spans="4:13">
      <c r="D164" s="85">
        <v>45971</v>
      </c>
      <c r="E164" s="89">
        <v>989.59997558593761</v>
      </c>
      <c r="F164" s="92">
        <f t="shared" si="4"/>
        <v>7.4040481538059973E-3</v>
      </c>
      <c r="G164" s="89">
        <v>25910.05078125</v>
      </c>
      <c r="H164" s="92">
        <f t="shared" si="5"/>
        <v>1.6254478054161432E-2</v>
      </c>
      <c r="L164" s="14"/>
      <c r="M164" s="14"/>
    </row>
    <row r="165" spans="4:13">
      <c r="D165" s="85">
        <v>45978</v>
      </c>
      <c r="E165" s="89">
        <v>998.04998779296875</v>
      </c>
      <c r="F165" s="92">
        <f t="shared" si="4"/>
        <v>8.5025666183692131E-3</v>
      </c>
      <c r="G165" s="89">
        <v>26068.150390625</v>
      </c>
      <c r="H165" s="92">
        <f t="shared" si="5"/>
        <v>6.0833231383120153E-3</v>
      </c>
      <c r="L165" s="14"/>
      <c r="M165" s="14"/>
    </row>
    <row r="166" spans="4:13">
      <c r="D166" s="85">
        <v>45985</v>
      </c>
      <c r="E166" s="89">
        <v>1007.599975585938</v>
      </c>
      <c r="F166" s="92">
        <f t="shared" si="4"/>
        <v>9.5231572225301132E-3</v>
      </c>
      <c r="G166" s="89">
        <v>26202.94921875</v>
      </c>
      <c r="H166" s="92">
        <f t="shared" si="5"/>
        <v>5.157692413452806E-3</v>
      </c>
      <c r="L166" s="14"/>
      <c r="M166" s="14"/>
    </row>
  </sheetData>
  <mergeCells count="1">
    <mergeCell ref="C1:R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B1A1-E74C-483D-B5A5-D0EA56701861}">
  <dimension ref="A1:V34"/>
  <sheetViews>
    <sheetView showGridLines="0" workbookViewId="0">
      <selection activeCell="H12" sqref="H12"/>
    </sheetView>
  </sheetViews>
  <sheetFormatPr defaultRowHeight="14.4"/>
  <cols>
    <col min="1" max="2" width="2.88671875" customWidth="1"/>
    <col min="3" max="3" width="26" bestFit="1" customWidth="1"/>
    <col min="4" max="8" width="9.88671875" bestFit="1" customWidth="1"/>
    <col min="9" max="9" width="5" customWidth="1"/>
    <col min="10" max="10" width="3.21875" customWidth="1"/>
    <col min="11" max="11" width="3.44140625" customWidth="1"/>
    <col min="12" max="13" width="3.88671875" customWidth="1"/>
    <col min="14" max="15" width="4.21875" customWidth="1"/>
    <col min="16" max="16" width="3.109375" customWidth="1"/>
    <col min="17" max="17" width="2.88671875" customWidth="1"/>
    <col min="18" max="18" width="4.5546875" customWidth="1"/>
    <col min="19" max="19" width="3.33203125" customWidth="1"/>
    <col min="20" max="20" width="2.88671875" customWidth="1"/>
    <col min="22" max="22" width="20.21875" bestFit="1" customWidth="1"/>
  </cols>
  <sheetData>
    <row r="1" spans="1:22" ht="15" customHeight="1">
      <c r="A1" s="142"/>
      <c r="B1" s="142"/>
      <c r="C1" s="223" t="s">
        <v>236</v>
      </c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142"/>
      <c r="T1" s="142"/>
    </row>
    <row r="2" spans="1:22" ht="13.8" customHeight="1">
      <c r="A2" s="142"/>
      <c r="B2" s="141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141"/>
      <c r="T2" s="142"/>
    </row>
    <row r="3" spans="1:22" ht="16.8" customHeight="1">
      <c r="A3" s="141"/>
      <c r="B3" s="141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141"/>
      <c r="T3" s="141"/>
    </row>
    <row r="4" spans="1:22" ht="18" customHeight="1">
      <c r="A4" s="141"/>
      <c r="B4" s="141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141"/>
      <c r="T4" s="141"/>
    </row>
    <row r="5" spans="1:22" ht="13.8" customHeight="1">
      <c r="A5" s="142"/>
      <c r="B5" s="141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141"/>
      <c r="T5" s="142"/>
    </row>
    <row r="6" spans="1:22" ht="12" customHeight="1">
      <c r="A6" s="142"/>
      <c r="B6" s="142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142"/>
      <c r="T6" s="142"/>
    </row>
    <row r="7" spans="1:22" ht="15" thickBot="1"/>
    <row r="8" spans="1:22" ht="15" thickBot="1">
      <c r="C8" s="32"/>
      <c r="D8" s="3">
        <f>'Raw Sheet'!E9</f>
        <v>2021</v>
      </c>
      <c r="E8" s="5">
        <f>'Raw Sheet'!F9</f>
        <v>2022</v>
      </c>
      <c r="F8" s="3">
        <f>'Raw Sheet'!G9</f>
        <v>2023</v>
      </c>
      <c r="G8" s="3">
        <f>'Raw Sheet'!H9</f>
        <v>2024</v>
      </c>
      <c r="H8" s="6">
        <f>'Raw Sheet'!I9</f>
        <v>2025</v>
      </c>
    </row>
    <row r="9" spans="1:22">
      <c r="C9" s="80" t="s">
        <v>134</v>
      </c>
      <c r="D9" s="24"/>
      <c r="F9" s="24"/>
      <c r="G9" s="24"/>
      <c r="H9" s="47"/>
    </row>
    <row r="10" spans="1:22">
      <c r="C10" s="81" t="str">
        <f>'Raw Sheet'!D98</f>
        <v>Net Interest Margin (NIM)</v>
      </c>
      <c r="D10" s="43">
        <f>'Raw Sheet'!E98</f>
        <v>4.1000000000000002E-2</v>
      </c>
      <c r="E10" s="39">
        <f>'Raw Sheet'!F98</f>
        <v>0.04</v>
      </c>
      <c r="F10" s="43">
        <f>'Raw Sheet'!G98</f>
        <v>4.1000000000000002E-2</v>
      </c>
      <c r="G10" s="43">
        <f>'Raw Sheet'!H98</f>
        <v>3.5299999999999998E-2</v>
      </c>
      <c r="H10" s="50">
        <f>'Raw Sheet'!I98</f>
        <v>3.4799999999999998E-2</v>
      </c>
      <c r="V10" s="16"/>
    </row>
    <row r="11" spans="1:22">
      <c r="C11" s="81" t="str">
        <f>'Raw Sheet'!D99</f>
        <v>ROA</v>
      </c>
      <c r="D11" s="43">
        <f>'Raw Sheet'!E99</f>
        <v>1.9699999999999999E-2</v>
      </c>
      <c r="E11" s="39">
        <f>'Raw Sheet'!F99</f>
        <v>2.0299999999999999E-2</v>
      </c>
      <c r="F11" s="43">
        <f>'Raw Sheet'!G99</f>
        <v>2.07E-2</v>
      </c>
      <c r="G11" s="43">
        <f>'Raw Sheet'!H99</f>
        <v>1.9800000000000002E-2</v>
      </c>
      <c r="H11" s="50">
        <f>'Raw Sheet'!I99</f>
        <v>1.9099999999999999E-2</v>
      </c>
    </row>
    <row r="12" spans="1:22">
      <c r="C12" s="81" t="str">
        <f>'Raw Sheet'!D100</f>
        <v>ROE</v>
      </c>
      <c r="D12" s="43">
        <f>'Raw Sheet'!E100</f>
        <v>0.15540000000000001</v>
      </c>
      <c r="E12" s="39">
        <f>'Raw Sheet'!F100</f>
        <v>0.16900000000000001</v>
      </c>
      <c r="F12" s="43">
        <f>'Raw Sheet'!G100</f>
        <v>0.17399999999999999</v>
      </c>
      <c r="G12" s="43">
        <f>'Raw Sheet'!H100</f>
        <v>0.16089999999999999</v>
      </c>
      <c r="H12" s="50">
        <f>'Raw Sheet'!I100</f>
        <v>0.14599999999999999</v>
      </c>
    </row>
    <row r="13" spans="1:22">
      <c r="C13" s="81" t="s">
        <v>135</v>
      </c>
      <c r="D13" s="74">
        <f>(SUM('Raw Sheet'!E34:E37)+'Raw Sheet'!E39)/'Raw Sheet'!E30</f>
        <v>0.41882952010230851</v>
      </c>
      <c r="E13" s="67">
        <f>(SUM('Raw Sheet'!F34:F37)+'Raw Sheet'!F39)/'Raw Sheet'!F30</f>
        <v>0.42841862603256914</v>
      </c>
      <c r="F13" s="74">
        <f>(SUM('Raw Sheet'!G34:G37)+'Raw Sheet'!G39)/'Raw Sheet'!G30</f>
        <v>0.3829353974327403</v>
      </c>
      <c r="G13" s="74">
        <f>(SUM('Raw Sheet'!H34:H37)+'Raw Sheet'!H39)/'Raw Sheet'!H30</f>
        <v>0.62502461669002052</v>
      </c>
      <c r="H13" s="68">
        <f>(SUM('Raw Sheet'!I34:I37)+'Raw Sheet'!I39)/'Raw Sheet'!I30</f>
        <v>0.5671764356019845</v>
      </c>
    </row>
    <row r="14" spans="1:22" ht="15" thickBot="1">
      <c r="C14" s="82" t="s">
        <v>136</v>
      </c>
      <c r="D14" s="74">
        <f>('Raw Sheet'!E31+'Raw Sheet'!E32+'Raw Sheet'!E33+'Raw Sheet'!E34+'Raw Sheet'!E35+'Raw Sheet'!E36+'Raw Sheet'!E37+'Raw Sheet'!E39)/('Raw Sheet'!E30+'Raw Sheet'!E38)</f>
        <v>0.34539207293979268</v>
      </c>
      <c r="E14" s="67">
        <f>('Raw Sheet'!F31+'Raw Sheet'!F32+'Raw Sheet'!F33+'Raw Sheet'!F34+'Raw Sheet'!F35+'Raw Sheet'!F36+'Raw Sheet'!F37+'Raw Sheet'!F39)/('Raw Sheet'!F30+'Raw Sheet'!F38)</f>
        <v>0.34728257304613003</v>
      </c>
      <c r="F14" s="74">
        <f>('Raw Sheet'!G31+'Raw Sheet'!G32+'Raw Sheet'!G33+'Raw Sheet'!G34+'Raw Sheet'!G35+'Raw Sheet'!G36+'Raw Sheet'!G37+'Raw Sheet'!G39)/('Raw Sheet'!G30+'Raw Sheet'!G38)</f>
        <v>0.31948510280891662</v>
      </c>
      <c r="G14" s="74">
        <f>('Raw Sheet'!H31+'Raw Sheet'!H32+'Raw Sheet'!H33+'Raw Sheet'!H34+'Raw Sheet'!H35+'Raw Sheet'!H36+'Raw Sheet'!H37+'Raw Sheet'!H39)/('Raw Sheet'!H30+'Raw Sheet'!H38)</f>
        <v>0.43453405052226518</v>
      </c>
      <c r="H14" s="68">
        <f>('Raw Sheet'!I31+'Raw Sheet'!I32+'Raw Sheet'!I33+'Raw Sheet'!I34+'Raw Sheet'!I35+'Raw Sheet'!I36+'Raw Sheet'!I37+'Raw Sheet'!I39)/('Raw Sheet'!I30+'Raw Sheet'!I38)</f>
        <v>0.40512471090115815</v>
      </c>
    </row>
    <row r="15" spans="1:22">
      <c r="C15" s="30"/>
      <c r="D15" s="32"/>
      <c r="E15" s="55"/>
      <c r="F15" s="32"/>
      <c r="G15" s="32"/>
      <c r="H15" s="56"/>
    </row>
    <row r="16" spans="1:22">
      <c r="C16" s="69" t="s">
        <v>137</v>
      </c>
      <c r="D16" s="24"/>
      <c r="F16" s="24"/>
      <c r="G16" s="24"/>
      <c r="H16" s="47"/>
    </row>
    <row r="17" spans="3:11">
      <c r="C17" s="77" t="str">
        <f>'Raw Sheet'!D93</f>
        <v>CET1</v>
      </c>
      <c r="D17" s="74">
        <f>'Raw Sheet'!E93</f>
        <v>0.16850000000000001</v>
      </c>
      <c r="E17" s="67">
        <f>'Raw Sheet'!F93</f>
        <v>0.16669999999999999</v>
      </c>
      <c r="F17" s="74">
        <f>'Raw Sheet'!G93</f>
        <v>0.16400000000000001</v>
      </c>
      <c r="G17" s="74">
        <f>'Raw Sheet'!H93</f>
        <v>0.16300000000000001</v>
      </c>
      <c r="H17" s="68">
        <f>'Raw Sheet'!I93</f>
        <v>0.17230000000000001</v>
      </c>
    </row>
    <row r="18" spans="3:11">
      <c r="C18" s="77" t="str">
        <f>'Raw Sheet'!D94</f>
        <v>Tier-1</v>
      </c>
      <c r="D18" s="74">
        <f>'Raw Sheet'!E94</f>
        <v>0.17560000000000001</v>
      </c>
      <c r="E18" s="67">
        <f>'Raw Sheet'!F94</f>
        <v>0.1787</v>
      </c>
      <c r="F18" s="74">
        <f>'Raw Sheet'!G94</f>
        <v>0.17130000000000001</v>
      </c>
      <c r="G18" s="74">
        <f>'Raw Sheet'!H94</f>
        <v>0.16789999999999999</v>
      </c>
      <c r="H18" s="68">
        <f>'Raw Sheet'!I94</f>
        <v>0.1769</v>
      </c>
    </row>
    <row r="19" spans="3:11">
      <c r="C19" s="77" t="str">
        <f>'Raw Sheet'!D96</f>
        <v>Leverage Ratio</v>
      </c>
      <c r="D19" s="74">
        <f>'Raw Sheet'!E96</f>
        <v>0.104</v>
      </c>
      <c r="E19" s="67">
        <f>'Raw Sheet'!F96</f>
        <v>0.1062</v>
      </c>
      <c r="F19" s="74">
        <f>'Raw Sheet'!G96</f>
        <v>0.1004</v>
      </c>
      <c r="G19" s="74">
        <f>'Raw Sheet'!H96</f>
        <v>0.104</v>
      </c>
      <c r="H19" s="68">
        <f>'Raw Sheet'!I96</f>
        <v>0.1091</v>
      </c>
    </row>
    <row r="20" spans="3:11">
      <c r="C20" s="78" t="str">
        <f>'Raw Sheet'!D92</f>
        <v>Capital Adequecy Ratio (CAR)</v>
      </c>
      <c r="D20" s="74">
        <f>'Raw Sheet'!E92</f>
        <v>0.188</v>
      </c>
      <c r="E20" s="67">
        <f>'Raw Sheet'!F92</f>
        <v>0.189</v>
      </c>
      <c r="F20" s="74">
        <f>'Raw Sheet'!G92</f>
        <v>0.193</v>
      </c>
      <c r="G20" s="74">
        <f>'Raw Sheet'!H92</f>
        <v>0.188</v>
      </c>
      <c r="H20" s="68">
        <f>'Raw Sheet'!I92</f>
        <v>0.19550000000000001</v>
      </c>
    </row>
    <row r="21" spans="3:11" ht="15" thickBot="1">
      <c r="C21" s="30"/>
      <c r="D21" s="26"/>
      <c r="E21" s="31"/>
      <c r="F21" s="26"/>
      <c r="G21" s="26"/>
      <c r="H21" s="84"/>
    </row>
    <row r="22" spans="3:11">
      <c r="C22" s="83" t="s">
        <v>138</v>
      </c>
      <c r="D22" s="24"/>
      <c r="F22" s="24"/>
      <c r="G22" s="24"/>
      <c r="H22" s="47"/>
    </row>
    <row r="23" spans="3:11">
      <c r="C23" s="81" t="str">
        <f>'Raw Sheet'!D101</f>
        <v>CASA as % of total deposits</v>
      </c>
      <c r="D23" s="74">
        <f>'Raw Sheet'!E101</f>
        <v>0.46100000000000002</v>
      </c>
      <c r="E23" s="67">
        <f>'Raw Sheet'!F101</f>
        <v>0.48199999999999998</v>
      </c>
      <c r="F23" s="74">
        <f>'Raw Sheet'!G101</f>
        <v>0.44400000000000001</v>
      </c>
      <c r="G23" s="74">
        <f>'Raw Sheet'!H101</f>
        <v>0.38200000000000001</v>
      </c>
      <c r="H23" s="68">
        <f>'Raw Sheet'!I101</f>
        <v>0.34799999999999998</v>
      </c>
    </row>
    <row r="24" spans="3:11">
      <c r="C24" s="81" t="s">
        <v>141</v>
      </c>
      <c r="D24" s="75">
        <f>'Raw Sheet'!E138/'Raw Sheet'!E117</f>
        <v>0.88870432086737905</v>
      </c>
      <c r="E24" s="16">
        <f>'Raw Sheet'!F138/'Raw Sheet'!F117</f>
        <v>0.91202793103682223</v>
      </c>
      <c r="F24" s="75">
        <f>'Raw Sheet'!G138/'Raw Sheet'!G117</f>
        <v>0.88242222269504822</v>
      </c>
      <c r="G24" s="75">
        <f>'Raw Sheet'!H138/'Raw Sheet'!H117</f>
        <v>1.0782024526511385</v>
      </c>
      <c r="H24" s="71">
        <f>'Raw Sheet'!I138/'Raw Sheet'!I117</f>
        <v>0.96497006884825276</v>
      </c>
      <c r="J24" s="7"/>
      <c r="K24" s="7"/>
    </row>
    <row r="25" spans="3:11">
      <c r="C25" s="81" t="s">
        <v>143</v>
      </c>
      <c r="D25" s="74">
        <f>'Raw Sheet'!E27/'Raw Sheet'!E19</f>
        <v>5.4093013427797154E-2</v>
      </c>
      <c r="E25" s="67">
        <f>'Raw Sheet'!F27/'Raw Sheet'!F19</f>
        <v>6.123394171925152E-2</v>
      </c>
      <c r="F25" s="74">
        <f>'Raw Sheet'!G27/'Raw Sheet'!G19</f>
        <v>4.630069103919645E-2</v>
      </c>
      <c r="G25" s="74">
        <f>'Raw Sheet'!H27/'Raw Sheet'!H19</f>
        <v>4.4336131529302512E-2</v>
      </c>
      <c r="H25" s="68">
        <f>'Raw Sheet'!I27/'Raw Sheet'!I19</f>
        <v>3.2866898868054946E-2</v>
      </c>
    </row>
    <row r="26" spans="3:11" ht="15" thickBot="1">
      <c r="C26" s="26"/>
      <c r="D26" s="24"/>
      <c r="F26" s="24"/>
      <c r="G26" s="24"/>
      <c r="H26" s="47"/>
    </row>
    <row r="27" spans="3:11">
      <c r="C27" s="70" t="s">
        <v>144</v>
      </c>
      <c r="D27" s="32"/>
      <c r="E27" s="55"/>
      <c r="F27" s="32"/>
      <c r="G27" s="32"/>
      <c r="H27" s="56"/>
    </row>
    <row r="28" spans="3:11">
      <c r="C28" s="77" t="str">
        <f>'Raw Sheet'!D87</f>
        <v>DPS</v>
      </c>
      <c r="D28" s="24">
        <f>'Raw Sheet'!E87</f>
        <v>3.25</v>
      </c>
      <c r="E28">
        <f>'Raw Sheet'!F87</f>
        <v>7.75</v>
      </c>
      <c r="F28" s="24">
        <f>'Raw Sheet'!G87</f>
        <v>9.5</v>
      </c>
      <c r="G28" s="24">
        <f>'Raw Sheet'!H87</f>
        <v>9.75</v>
      </c>
      <c r="H28" s="47">
        <f>'Raw Sheet'!I87</f>
        <v>11</v>
      </c>
    </row>
    <row r="29" spans="3:11">
      <c r="C29" s="77" t="str">
        <f>'Raw Sheet'!D89</f>
        <v>EPS</v>
      </c>
      <c r="D29" s="24">
        <f>'Raw Sheet'!E89</f>
        <v>56.58</v>
      </c>
      <c r="E29">
        <f>'Raw Sheet'!F89</f>
        <v>66.8</v>
      </c>
      <c r="F29" s="24">
        <f>'Raw Sheet'!G89</f>
        <v>79.25</v>
      </c>
      <c r="G29" s="24">
        <f>'Raw Sheet'!H89</f>
        <v>85.83</v>
      </c>
      <c r="H29" s="47">
        <f>'Raw Sheet'!I89</f>
        <v>88.29</v>
      </c>
    </row>
    <row r="30" spans="3:11">
      <c r="C30" s="77" t="s">
        <v>145</v>
      </c>
      <c r="D30" s="74">
        <f>D28/D29</f>
        <v>5.7440791799222339E-2</v>
      </c>
      <c r="E30" s="67">
        <f t="shared" ref="E30:H30" si="0">E28/E29</f>
        <v>0.11601796407185629</v>
      </c>
      <c r="F30" s="74">
        <f t="shared" si="0"/>
        <v>0.11987381703470032</v>
      </c>
      <c r="G30" s="74">
        <f t="shared" si="0"/>
        <v>0.11359664452988466</v>
      </c>
      <c r="H30" s="68">
        <f t="shared" si="0"/>
        <v>0.12458942122550684</v>
      </c>
    </row>
    <row r="31" spans="3:11" ht="15" thickBot="1">
      <c r="C31" s="79" t="str">
        <f>'Raw Sheet'!D43</f>
        <v>Net Profit</v>
      </c>
      <c r="D31" s="76">
        <f>'Raw Sheet'!E43</f>
        <v>31833.21</v>
      </c>
      <c r="E31" s="72">
        <f>'Raw Sheet'!F43</f>
        <v>38052.75</v>
      </c>
      <c r="F31" s="76">
        <f>'Raw Sheet'!G43</f>
        <v>45997.11</v>
      </c>
      <c r="G31" s="76">
        <f>'Raw Sheet'!H43</f>
        <v>64062.04</v>
      </c>
      <c r="H31" s="73">
        <f>'Raw Sheet'!I43</f>
        <v>70792.25</v>
      </c>
    </row>
    <row r="32" spans="3:11">
      <c r="C32" s="32"/>
      <c r="D32" s="54"/>
      <c r="E32" s="56"/>
      <c r="F32" s="54"/>
      <c r="G32" s="55"/>
      <c r="H32" s="56"/>
    </row>
    <row r="33" spans="3:8">
      <c r="C33" s="66" t="s">
        <v>155</v>
      </c>
      <c r="D33" s="46" t="s">
        <v>156</v>
      </c>
      <c r="E33" s="47"/>
      <c r="F33" s="30"/>
      <c r="H33" s="47">
        <v>1.95</v>
      </c>
    </row>
    <row r="34" spans="3:8" ht="15" thickBot="1">
      <c r="C34" s="26"/>
      <c r="D34" s="10" t="s">
        <v>157</v>
      </c>
      <c r="E34" s="84"/>
      <c r="F34" s="65"/>
      <c r="G34" s="31"/>
      <c r="H34" s="88">
        <f>'Raw Sheet'!L15/'Raw Sheet'!L14</f>
        <v>1.092748240585812</v>
      </c>
    </row>
  </sheetData>
  <mergeCells count="1">
    <mergeCell ref="C1:R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10E0-2E21-4A9A-B604-FA0FC36078A0}">
  <dimension ref="A1:T156"/>
  <sheetViews>
    <sheetView showGridLines="0" zoomScale="90" zoomScaleNormal="90" workbookViewId="0">
      <selection activeCell="C8" sqref="C8"/>
    </sheetView>
  </sheetViews>
  <sheetFormatPr defaultRowHeight="14.4"/>
  <cols>
    <col min="1" max="1" width="3" customWidth="1"/>
    <col min="2" max="2" width="3.77734375" customWidth="1"/>
    <col min="3" max="3" width="25.33203125" customWidth="1"/>
    <col min="4" max="4" width="44.6640625" customWidth="1"/>
    <col min="5" max="9" width="12.5546875" bestFit="1" customWidth="1"/>
    <col min="10" max="10" width="3.77734375" customWidth="1"/>
    <col min="11" max="11" width="17.6640625" bestFit="1" customWidth="1"/>
    <col min="12" max="12" width="15.44140625" customWidth="1"/>
    <col min="13" max="13" width="7.109375" bestFit="1" customWidth="1"/>
    <col min="14" max="14" width="6.6640625" bestFit="1" customWidth="1"/>
    <col min="15" max="15" width="1.6640625" customWidth="1"/>
    <col min="16" max="16" width="1.21875" customWidth="1"/>
    <col min="17" max="17" width="1.6640625" customWidth="1"/>
    <col min="18" max="18" width="2" customWidth="1"/>
    <col min="19" max="20" width="2.88671875" customWidth="1"/>
  </cols>
  <sheetData>
    <row r="1" spans="1:20" ht="15.6" customHeight="1">
      <c r="A1" s="142"/>
      <c r="B1" s="142"/>
      <c r="C1" s="223" t="s">
        <v>235</v>
      </c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142"/>
      <c r="T1" s="142"/>
    </row>
    <row r="2" spans="1:20" ht="15" customHeight="1">
      <c r="A2" s="142"/>
      <c r="B2" s="141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141"/>
      <c r="T2" s="142"/>
    </row>
    <row r="3" spans="1:20" ht="15.6" customHeight="1">
      <c r="A3" s="141"/>
      <c r="B3" s="141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141"/>
      <c r="T3" s="141"/>
    </row>
    <row r="4" spans="1:20" ht="15" customHeight="1">
      <c r="A4" s="141"/>
      <c r="B4" s="141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141"/>
      <c r="T4" s="141"/>
    </row>
    <row r="5" spans="1:20" ht="14.4" customHeight="1">
      <c r="A5" s="142"/>
      <c r="B5" s="141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141"/>
      <c r="T5" s="142"/>
    </row>
    <row r="6" spans="1:20" ht="15" customHeight="1">
      <c r="A6" s="142"/>
      <c r="B6" s="142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142"/>
      <c r="T6" s="142"/>
    </row>
    <row r="8" spans="1:20" ht="15" thickBot="1">
      <c r="C8" s="7" t="s">
        <v>304</v>
      </c>
    </row>
    <row r="9" spans="1:20" ht="15" thickBot="1">
      <c r="C9" s="32"/>
      <c r="D9" s="4" t="s">
        <v>128</v>
      </c>
      <c r="E9" s="3">
        <v>2021</v>
      </c>
      <c r="F9" s="5">
        <v>2022</v>
      </c>
      <c r="G9" s="3">
        <v>2023</v>
      </c>
      <c r="H9" s="5">
        <v>2024</v>
      </c>
      <c r="I9" s="3">
        <v>2025</v>
      </c>
      <c r="K9" s="3">
        <v>2025</v>
      </c>
    </row>
    <row r="10" spans="1:20" ht="15" thickBot="1">
      <c r="C10" s="24"/>
      <c r="D10" s="59" t="s">
        <v>59</v>
      </c>
      <c r="E10" s="24">
        <v>551.28</v>
      </c>
      <c r="F10">
        <v>554.54999999999995</v>
      </c>
      <c r="G10" s="24">
        <v>557.97</v>
      </c>
      <c r="H10">
        <v>759.69</v>
      </c>
      <c r="I10" s="24">
        <v>765.22</v>
      </c>
      <c r="K10" s="83" t="s">
        <v>158</v>
      </c>
      <c r="L10" s="87" t="s">
        <v>164</v>
      </c>
    </row>
    <row r="11" spans="1:20">
      <c r="C11" s="24"/>
      <c r="D11" s="59" t="s">
        <v>60</v>
      </c>
      <c r="E11" s="24">
        <v>209258.9</v>
      </c>
      <c r="F11">
        <v>246771.62</v>
      </c>
      <c r="G11" s="24">
        <v>288879.53000000003</v>
      </c>
      <c r="H11">
        <v>455635.56</v>
      </c>
      <c r="I11" s="24">
        <v>521024.17</v>
      </c>
      <c r="K11" s="98" t="s">
        <v>159</v>
      </c>
      <c r="L11" s="101">
        <v>765.22220000000004</v>
      </c>
    </row>
    <row r="12" spans="1:20">
      <c r="C12" s="24"/>
      <c r="D12" s="59" t="s">
        <v>61</v>
      </c>
      <c r="E12" s="24">
        <v>1511417.62</v>
      </c>
      <c r="F12">
        <v>1784969.53</v>
      </c>
      <c r="G12" s="24">
        <v>2139211.91</v>
      </c>
      <c r="H12">
        <v>3107502.74</v>
      </c>
      <c r="I12" s="24">
        <v>3345503.8</v>
      </c>
      <c r="K12" s="99" t="s">
        <v>160</v>
      </c>
      <c r="L12" s="102">
        <v>3805.1943999999999</v>
      </c>
    </row>
    <row r="13" spans="1:20" ht="15" thickBot="1">
      <c r="C13" s="24"/>
      <c r="D13" s="59" t="s">
        <v>62</v>
      </c>
      <c r="E13" s="24">
        <v>78278.83</v>
      </c>
      <c r="F13">
        <v>90638.6</v>
      </c>
      <c r="G13" s="24">
        <v>101783.03</v>
      </c>
      <c r="H13">
        <v>466296.27</v>
      </c>
      <c r="I13" s="24">
        <v>524816.64000000001</v>
      </c>
      <c r="K13" s="99" t="s">
        <v>161</v>
      </c>
      <c r="L13" s="102">
        <v>496854.22289999999</v>
      </c>
    </row>
    <row r="14" spans="1:20">
      <c r="C14" s="24"/>
      <c r="D14" s="60" t="s">
        <v>63</v>
      </c>
      <c r="E14" s="24">
        <v>1799506.63</v>
      </c>
      <c r="F14">
        <v>2122934.2999999998</v>
      </c>
      <c r="G14" s="24">
        <v>2530432.44</v>
      </c>
      <c r="H14">
        <v>4030194.26</v>
      </c>
      <c r="I14" s="24">
        <v>4392109.83</v>
      </c>
      <c r="K14" s="98" t="s">
        <v>162</v>
      </c>
      <c r="L14" s="104">
        <v>501424.63949999999</v>
      </c>
    </row>
    <row r="15" spans="1:20" ht="15" thickBot="1">
      <c r="C15" s="24"/>
      <c r="D15" s="61" t="s">
        <v>64</v>
      </c>
      <c r="E15" s="24">
        <v>5248.35</v>
      </c>
      <c r="F15">
        <v>6432.07</v>
      </c>
      <c r="G15" s="24">
        <v>8431.35</v>
      </c>
      <c r="H15">
        <v>12603.76</v>
      </c>
      <c r="I15" s="24">
        <v>15257.94</v>
      </c>
      <c r="K15" s="100" t="s">
        <v>163</v>
      </c>
      <c r="L15" s="103">
        <v>547930.89260000002</v>
      </c>
    </row>
    <row r="16" spans="1:20">
      <c r="C16" s="24"/>
      <c r="D16" s="61" t="s">
        <v>65</v>
      </c>
      <c r="E16" s="57"/>
      <c r="F16" s="18"/>
      <c r="G16" s="57"/>
      <c r="H16" s="18"/>
      <c r="I16" s="57"/>
    </row>
    <row r="17" spans="3:12" ht="15" thickBot="1">
      <c r="C17" s="24"/>
      <c r="D17" s="61" t="s">
        <v>66</v>
      </c>
      <c r="E17" s="24">
        <v>438823.11</v>
      </c>
      <c r="F17">
        <v>449263.86</v>
      </c>
      <c r="G17" s="24">
        <v>511581.71</v>
      </c>
      <c r="H17">
        <v>1005681.63</v>
      </c>
      <c r="I17" s="24">
        <v>1186472.8899999999</v>
      </c>
    </row>
    <row r="18" spans="3:12" ht="15" thickBot="1">
      <c r="C18" s="24"/>
      <c r="D18" s="61" t="s">
        <v>67</v>
      </c>
      <c r="E18" s="24">
        <v>1355435.17</v>
      </c>
      <c r="F18">
        <v>1667238.37</v>
      </c>
      <c r="G18" s="24">
        <v>2010419.38</v>
      </c>
      <c r="H18">
        <v>3011908.87</v>
      </c>
      <c r="I18" s="24">
        <v>3190379</v>
      </c>
      <c r="K18" s="110" t="s">
        <v>168</v>
      </c>
      <c r="L18" s="109">
        <v>0.25169999999999998</v>
      </c>
    </row>
    <row r="19" spans="3:12">
      <c r="C19" s="24"/>
      <c r="D19" s="60" t="s">
        <v>63</v>
      </c>
      <c r="E19" s="24">
        <v>1799506.63</v>
      </c>
      <c r="F19">
        <v>2122934.2999999998</v>
      </c>
      <c r="G19" s="24">
        <v>2530432.44</v>
      </c>
      <c r="H19">
        <v>4030194.26</v>
      </c>
      <c r="I19" s="24">
        <v>4392109.83</v>
      </c>
    </row>
    <row r="20" spans="3:12">
      <c r="C20" s="66" t="s">
        <v>127</v>
      </c>
      <c r="D20" s="59" t="s">
        <v>68</v>
      </c>
      <c r="E20" s="58"/>
      <c r="F20" s="19"/>
      <c r="G20" s="58"/>
      <c r="H20" s="19"/>
      <c r="I20" s="58"/>
    </row>
    <row r="21" spans="3:12">
      <c r="C21" s="24"/>
      <c r="D21" s="59" t="s">
        <v>69</v>
      </c>
      <c r="E21" s="57"/>
      <c r="F21" s="18"/>
      <c r="G21" s="57"/>
      <c r="H21" s="18"/>
      <c r="I21" s="57"/>
    </row>
    <row r="22" spans="3:12">
      <c r="C22" s="24"/>
      <c r="D22" s="62" t="s">
        <v>70</v>
      </c>
      <c r="E22" s="24">
        <v>86648.17</v>
      </c>
      <c r="F22">
        <v>118791.2</v>
      </c>
      <c r="G22" s="24">
        <v>103917.93</v>
      </c>
      <c r="H22">
        <v>165658.59</v>
      </c>
      <c r="I22" s="24">
        <v>132227.37</v>
      </c>
    </row>
    <row r="23" spans="3:12">
      <c r="C23" s="24"/>
      <c r="D23" s="62" t="s">
        <v>71</v>
      </c>
      <c r="E23" s="24">
        <v>5512776482</v>
      </c>
      <c r="F23">
        <v>5545540976</v>
      </c>
      <c r="G23" s="24">
        <v>5579742786</v>
      </c>
      <c r="H23">
        <v>7596910662</v>
      </c>
      <c r="I23" s="24">
        <v>7652221674</v>
      </c>
    </row>
    <row r="24" spans="3:12">
      <c r="C24" s="24"/>
      <c r="D24" s="62" t="s">
        <v>72</v>
      </c>
      <c r="E24" s="57"/>
      <c r="F24" s="18"/>
      <c r="G24" s="57"/>
      <c r="H24" s="18"/>
      <c r="I24" s="57"/>
    </row>
    <row r="25" spans="3:12">
      <c r="C25" s="24"/>
      <c r="D25" s="62" t="s">
        <v>73</v>
      </c>
      <c r="E25" s="24">
        <v>1</v>
      </c>
      <c r="F25">
        <v>1</v>
      </c>
      <c r="G25" s="24">
        <v>1</v>
      </c>
      <c r="H25">
        <v>1</v>
      </c>
      <c r="I25" s="24">
        <v>1</v>
      </c>
    </row>
    <row r="26" spans="3:12">
      <c r="C26" s="24"/>
      <c r="D26" s="62"/>
      <c r="E26" s="24"/>
      <c r="G26" s="24"/>
      <c r="I26" s="24"/>
    </row>
    <row r="27" spans="3:12">
      <c r="C27" s="24"/>
      <c r="D27" s="62" t="s">
        <v>142</v>
      </c>
      <c r="E27" s="44">
        <v>97340.736300000004</v>
      </c>
      <c r="F27" s="40">
        <v>129995.6352</v>
      </c>
      <c r="G27" s="44">
        <v>117160.7706</v>
      </c>
      <c r="H27" s="40">
        <v>178683.22279999999</v>
      </c>
      <c r="I27" s="44">
        <v>144355.02960000001</v>
      </c>
    </row>
    <row r="28" spans="3:12">
      <c r="C28" s="24"/>
      <c r="D28" s="62"/>
      <c r="E28" s="24"/>
      <c r="G28" s="24"/>
      <c r="I28" s="24"/>
    </row>
    <row r="29" spans="3:12" ht="15" thickBot="1">
      <c r="C29" s="26"/>
      <c r="D29" s="30"/>
      <c r="E29" s="24"/>
      <c r="G29" s="24"/>
      <c r="I29" s="24"/>
    </row>
    <row r="30" spans="3:12">
      <c r="C30" s="32"/>
      <c r="D30" s="113" t="s">
        <v>74</v>
      </c>
      <c r="E30" s="32">
        <v>128552.4</v>
      </c>
      <c r="F30" s="55">
        <v>135936.41</v>
      </c>
      <c r="G30" s="32">
        <v>170754.05</v>
      </c>
      <c r="H30" s="55">
        <v>283649.02</v>
      </c>
      <c r="I30" s="32">
        <v>336367.43</v>
      </c>
    </row>
    <row r="31" spans="3:12">
      <c r="C31" s="24"/>
      <c r="D31" s="64" t="s">
        <v>75</v>
      </c>
      <c r="E31" s="58"/>
      <c r="F31" s="19"/>
      <c r="G31" s="58"/>
      <c r="H31" s="19"/>
      <c r="I31" s="58"/>
    </row>
    <row r="32" spans="3:12">
      <c r="C32" s="24"/>
      <c r="D32" s="64" t="s">
        <v>76</v>
      </c>
      <c r="E32" s="58"/>
      <c r="F32" s="19"/>
      <c r="G32" s="58"/>
      <c r="H32" s="19"/>
      <c r="I32" s="58"/>
    </row>
    <row r="33" spans="3:9">
      <c r="C33" s="24"/>
      <c r="D33" s="64" t="s">
        <v>77</v>
      </c>
      <c r="E33" s="58"/>
      <c r="F33" s="19"/>
      <c r="G33" s="58"/>
      <c r="H33" s="19"/>
      <c r="I33" s="58"/>
    </row>
    <row r="34" spans="3:9">
      <c r="C34" s="24"/>
      <c r="D34" s="64" t="s">
        <v>78</v>
      </c>
      <c r="E34" s="24">
        <v>1649.11</v>
      </c>
      <c r="F34">
        <v>1772.27</v>
      </c>
      <c r="G34" s="24">
        <v>2176.5</v>
      </c>
      <c r="H34">
        <v>3255.75</v>
      </c>
      <c r="I34" s="24">
        <v>3943.56</v>
      </c>
    </row>
    <row r="35" spans="3:9">
      <c r="C35" s="24"/>
      <c r="D35" s="64" t="s">
        <v>79</v>
      </c>
      <c r="E35" s="24">
        <v>13682.35</v>
      </c>
      <c r="F35">
        <v>15904.81</v>
      </c>
      <c r="G35" s="24">
        <v>20031.36</v>
      </c>
      <c r="H35">
        <v>31050.07</v>
      </c>
      <c r="I35" s="24">
        <v>34167.89</v>
      </c>
    </row>
    <row r="36" spans="3:9">
      <c r="C36" s="24"/>
      <c r="D36" s="64" t="s">
        <v>80</v>
      </c>
      <c r="E36" s="24">
        <v>4780.54</v>
      </c>
      <c r="F36">
        <v>5406.79</v>
      </c>
      <c r="G36" s="24">
        <v>6580</v>
      </c>
      <c r="H36">
        <v>87580.05</v>
      </c>
      <c r="I36" s="24">
        <v>105188.45</v>
      </c>
    </row>
    <row r="37" spans="3:9">
      <c r="C37" s="24"/>
      <c r="D37" s="64" t="s">
        <v>81</v>
      </c>
      <c r="E37" s="24">
        <v>32344.53</v>
      </c>
      <c r="F37">
        <v>33473.089999999997</v>
      </c>
      <c r="G37" s="24">
        <v>34254.44</v>
      </c>
      <c r="H37">
        <v>52309.67</v>
      </c>
      <c r="I37" s="24">
        <v>43674.55</v>
      </c>
    </row>
    <row r="38" spans="3:9">
      <c r="C38" s="66" t="s">
        <v>129</v>
      </c>
      <c r="D38" s="63" t="s">
        <v>82</v>
      </c>
      <c r="E38" s="24">
        <v>27332.880000000001</v>
      </c>
      <c r="F38">
        <v>31758.99</v>
      </c>
      <c r="G38" s="24">
        <v>33912.050000000003</v>
      </c>
      <c r="H38">
        <v>124345.75</v>
      </c>
      <c r="I38" s="24">
        <v>134548.5</v>
      </c>
    </row>
    <row r="39" spans="3:9">
      <c r="C39" s="24"/>
      <c r="D39" s="63" t="s">
        <v>83</v>
      </c>
      <c r="E39" s="24">
        <v>1385.01</v>
      </c>
      <c r="F39">
        <v>1680.73</v>
      </c>
      <c r="G39" s="24">
        <v>2345.4699999999998</v>
      </c>
      <c r="H39">
        <v>3092.08</v>
      </c>
      <c r="I39" s="24">
        <v>3805.23</v>
      </c>
    </row>
    <row r="40" spans="3:9">
      <c r="C40" s="24"/>
      <c r="D40" s="63" t="s">
        <v>84</v>
      </c>
      <c r="E40" s="24">
        <v>59247.59</v>
      </c>
      <c r="F40">
        <v>58584.33</v>
      </c>
      <c r="G40" s="24">
        <v>77779.94</v>
      </c>
      <c r="H40">
        <v>154138.54999999999</v>
      </c>
      <c r="I40" s="24">
        <v>183894.2</v>
      </c>
    </row>
    <row r="41" spans="3:9">
      <c r="C41" s="24"/>
      <c r="D41" s="63" t="s">
        <v>85</v>
      </c>
      <c r="E41" s="24">
        <v>42796.15</v>
      </c>
      <c r="F41">
        <v>50873.38</v>
      </c>
      <c r="G41" s="24">
        <v>61498.39</v>
      </c>
      <c r="H41">
        <v>76568.600000000006</v>
      </c>
      <c r="I41" s="24">
        <v>96242.05</v>
      </c>
    </row>
    <row r="42" spans="3:9">
      <c r="C42" s="24"/>
      <c r="D42" s="63" t="s">
        <v>86</v>
      </c>
      <c r="E42" s="24">
        <v>10939.38</v>
      </c>
      <c r="F42">
        <v>12722.48</v>
      </c>
      <c r="G42" s="24">
        <v>15349.69</v>
      </c>
      <c r="H42">
        <v>11122.1</v>
      </c>
      <c r="I42" s="24">
        <v>22801.88</v>
      </c>
    </row>
    <row r="43" spans="3:9">
      <c r="C43" s="24"/>
      <c r="D43" s="63" t="s">
        <v>146</v>
      </c>
      <c r="E43" s="24">
        <v>31833.21</v>
      </c>
      <c r="F43">
        <v>38052.75</v>
      </c>
      <c r="G43" s="24">
        <v>45997.11</v>
      </c>
      <c r="H43">
        <v>64062.04</v>
      </c>
      <c r="I43" s="24">
        <v>70792.25</v>
      </c>
    </row>
    <row r="44" spans="3:9">
      <c r="C44" s="24"/>
      <c r="D44" s="63" t="s">
        <v>87</v>
      </c>
      <c r="E44" s="24">
        <v>3583.32</v>
      </c>
      <c r="F44">
        <v>8595.52</v>
      </c>
      <c r="G44" s="24">
        <v>10601.43</v>
      </c>
      <c r="H44">
        <v>14813.96</v>
      </c>
      <c r="I44" s="24">
        <v>16834.84</v>
      </c>
    </row>
    <row r="45" spans="3:9">
      <c r="C45" s="24"/>
      <c r="D45" s="30"/>
      <c r="E45" s="24"/>
      <c r="G45" s="24"/>
      <c r="I45" s="24"/>
    </row>
    <row r="46" spans="3:9" ht="15" thickBot="1">
      <c r="C46" s="26"/>
      <c r="D46" s="65"/>
      <c r="E46" s="26"/>
      <c r="F46" s="31"/>
      <c r="G46" s="26"/>
      <c r="H46" s="31"/>
      <c r="I46" s="26"/>
    </row>
    <row r="47" spans="3:9">
      <c r="C47" s="32"/>
      <c r="D47" s="54" t="s">
        <v>3</v>
      </c>
      <c r="E47" s="32">
        <v>41658.9</v>
      </c>
      <c r="F47" s="55">
        <v>49015.5</v>
      </c>
      <c r="G47" s="32">
        <v>58485.3</v>
      </c>
      <c r="H47" s="55">
        <v>70895.3</v>
      </c>
      <c r="I47" s="32">
        <v>88478.1</v>
      </c>
    </row>
    <row r="48" spans="3:9">
      <c r="C48" s="24"/>
      <c r="D48" s="30" t="s">
        <v>4</v>
      </c>
      <c r="E48" s="24">
        <v>1302.4000000000001</v>
      </c>
      <c r="F48">
        <v>1600</v>
      </c>
      <c r="G48" s="24">
        <v>2242.5</v>
      </c>
      <c r="H48">
        <v>2810.1</v>
      </c>
      <c r="I48" s="24">
        <v>3379.5</v>
      </c>
    </row>
    <row r="49" spans="3:9">
      <c r="C49" s="24"/>
      <c r="D49" s="30" t="s">
        <v>5</v>
      </c>
      <c r="E49" s="24">
        <v>1485.3</v>
      </c>
      <c r="F49">
        <v>-1546.4</v>
      </c>
      <c r="G49" s="24">
        <v>545.79999999999995</v>
      </c>
      <c r="H49">
        <v>-943.5</v>
      </c>
      <c r="I49" s="24">
        <v>268.39999999999998</v>
      </c>
    </row>
    <row r="50" spans="3:9">
      <c r="C50" s="24"/>
      <c r="D50" s="30" t="s">
        <v>6</v>
      </c>
      <c r="E50" s="24">
        <v>765.5</v>
      </c>
      <c r="F50">
        <v>821.3</v>
      </c>
      <c r="G50" s="24">
        <v>851.2</v>
      </c>
      <c r="H50">
        <v>844.9</v>
      </c>
      <c r="I50" s="24">
        <v>-27.9</v>
      </c>
    </row>
    <row r="51" spans="3:9">
      <c r="C51" s="24"/>
      <c r="D51" s="30" t="s">
        <v>7</v>
      </c>
      <c r="E51" s="24">
        <v>-0.2</v>
      </c>
      <c r="F51">
        <v>3.3</v>
      </c>
      <c r="G51" s="24">
        <v>-8.3000000000000007</v>
      </c>
      <c r="H51">
        <v>-73.8</v>
      </c>
      <c r="I51" s="24">
        <v>-22.7</v>
      </c>
    </row>
    <row r="52" spans="3:9">
      <c r="C52" s="24"/>
      <c r="D52" s="30" t="s">
        <v>8</v>
      </c>
      <c r="E52" s="24">
        <v>0</v>
      </c>
      <c r="F52">
        <v>10633.5</v>
      </c>
      <c r="G52" s="24">
        <v>0</v>
      </c>
      <c r="H52">
        <v>-7341.4</v>
      </c>
      <c r="I52" s="24">
        <v>8</v>
      </c>
    </row>
    <row r="53" spans="3:9">
      <c r="C53" s="24"/>
      <c r="D53" s="30" t="s">
        <v>9</v>
      </c>
      <c r="E53" s="24">
        <v>11649.9</v>
      </c>
      <c r="F53">
        <v>0</v>
      </c>
      <c r="G53" s="24">
        <v>11787.4</v>
      </c>
      <c r="H53">
        <v>10774.8</v>
      </c>
      <c r="I53" s="24">
        <v>12715.3</v>
      </c>
    </row>
    <row r="54" spans="3:9">
      <c r="C54" s="24"/>
      <c r="D54" s="30" t="s">
        <v>10</v>
      </c>
      <c r="E54" s="24">
        <v>0</v>
      </c>
      <c r="F54">
        <v>0</v>
      </c>
      <c r="G54" s="24">
        <v>0</v>
      </c>
      <c r="H54">
        <v>10900</v>
      </c>
      <c r="I54" s="24">
        <v>0</v>
      </c>
    </row>
    <row r="55" spans="3:9">
      <c r="C55" s="24"/>
      <c r="D55" s="30" t="s">
        <v>11</v>
      </c>
      <c r="E55" s="24">
        <v>4269.5</v>
      </c>
      <c r="F55">
        <v>4957</v>
      </c>
      <c r="G55" s="24">
        <v>132.30000000000001</v>
      </c>
      <c r="H55">
        <v>1817.3</v>
      </c>
      <c r="I55" s="24">
        <v>-1065.9000000000001</v>
      </c>
    </row>
    <row r="56" spans="3:9">
      <c r="C56" s="24"/>
      <c r="D56" s="30" t="s">
        <v>12</v>
      </c>
      <c r="E56" s="24">
        <v>-483</v>
      </c>
      <c r="F56">
        <v>-831</v>
      </c>
      <c r="G56" s="24">
        <v>-811</v>
      </c>
      <c r="H56">
        <v>-1332.4</v>
      </c>
      <c r="I56" s="24">
        <v>-2187</v>
      </c>
    </row>
    <row r="57" spans="3:9">
      <c r="C57" s="24"/>
      <c r="D57" s="30" t="s">
        <v>13</v>
      </c>
      <c r="E57" s="24">
        <v>0</v>
      </c>
      <c r="F57">
        <v>326</v>
      </c>
      <c r="G57" s="24">
        <v>748.9</v>
      </c>
      <c r="H57">
        <v>1547.4</v>
      </c>
      <c r="I57" s="24">
        <v>1890.7</v>
      </c>
    </row>
    <row r="58" spans="3:9">
      <c r="C58" s="24"/>
      <c r="D58" s="30" t="s">
        <v>14</v>
      </c>
      <c r="E58" s="24">
        <v>60647.1</v>
      </c>
      <c r="F58">
        <v>64979.1</v>
      </c>
      <c r="G58" s="24">
        <v>73974.100000000006</v>
      </c>
      <c r="H58">
        <v>89898.8</v>
      </c>
      <c r="I58" s="24">
        <v>103436.5</v>
      </c>
    </row>
    <row r="59" spans="3:9">
      <c r="C59" s="24"/>
      <c r="D59" s="30" t="s">
        <v>15</v>
      </c>
      <c r="E59" s="24">
        <v>-52540.6</v>
      </c>
      <c r="F59">
        <v>-12195.2</v>
      </c>
      <c r="G59" s="24">
        <v>-63330.9</v>
      </c>
      <c r="H59">
        <v>-54833.599999999999</v>
      </c>
      <c r="I59" s="24">
        <v>-130200.4</v>
      </c>
    </row>
    <row r="60" spans="3:9">
      <c r="C60" s="24"/>
      <c r="D60" s="30" t="s">
        <v>16</v>
      </c>
      <c r="E60" s="24">
        <v>-150924.6</v>
      </c>
      <c r="F60">
        <v>-246638.9</v>
      </c>
      <c r="G60" s="24">
        <v>-243552.6</v>
      </c>
      <c r="H60">
        <v>-289444.2</v>
      </c>
      <c r="I60" s="24">
        <v>-148903.4</v>
      </c>
    </row>
    <row r="61" spans="3:9">
      <c r="C61" s="24"/>
      <c r="D61" s="30" t="s">
        <v>17</v>
      </c>
      <c r="E61" s="24">
        <v>187557.9</v>
      </c>
      <c r="F61">
        <v>224157.2</v>
      </c>
      <c r="G61" s="24">
        <v>324177.2</v>
      </c>
      <c r="H61">
        <v>339132.4</v>
      </c>
      <c r="I61" s="24">
        <v>334928.59999999998</v>
      </c>
    </row>
    <row r="62" spans="3:9">
      <c r="C62" s="24"/>
      <c r="D62" s="30" t="s">
        <v>18</v>
      </c>
      <c r="E62" s="24">
        <v>10018.299999999999</v>
      </c>
      <c r="F62">
        <v>-38023.599999999999</v>
      </c>
      <c r="G62" s="24">
        <v>-59409.3</v>
      </c>
      <c r="H62">
        <v>-29225.4</v>
      </c>
      <c r="I62" s="24">
        <v>-7342.5</v>
      </c>
    </row>
    <row r="63" spans="3:9">
      <c r="C63" s="66" t="s">
        <v>130</v>
      </c>
      <c r="D63" s="30" t="s">
        <v>19</v>
      </c>
      <c r="E63" s="24">
        <v>-675.7</v>
      </c>
      <c r="F63">
        <v>7518</v>
      </c>
      <c r="G63" s="24">
        <v>10930.7</v>
      </c>
      <c r="H63">
        <v>-669.2</v>
      </c>
      <c r="I63" s="24">
        <v>10634.1</v>
      </c>
    </row>
    <row r="64" spans="3:9">
      <c r="C64" s="24"/>
      <c r="D64" s="30" t="s">
        <v>20</v>
      </c>
      <c r="E64" s="24">
        <v>54082.400000000001</v>
      </c>
      <c r="F64">
        <v>-203.5</v>
      </c>
      <c r="G64" s="24">
        <v>42789.1</v>
      </c>
      <c r="H64">
        <v>54858.7</v>
      </c>
      <c r="I64" s="24">
        <v>162553</v>
      </c>
    </row>
    <row r="65" spans="3:9">
      <c r="C65" s="24"/>
      <c r="D65" s="30" t="s">
        <v>21</v>
      </c>
      <c r="E65" s="24">
        <v>-12587.6</v>
      </c>
      <c r="F65">
        <v>-14005.3</v>
      </c>
      <c r="G65" s="24">
        <v>-15475.7</v>
      </c>
      <c r="H65">
        <v>-19843.7</v>
      </c>
      <c r="I65" s="24">
        <v>-17375.7</v>
      </c>
    </row>
    <row r="66" spans="3:9">
      <c r="C66" s="24"/>
      <c r="D66" s="30" t="s">
        <v>22</v>
      </c>
      <c r="E66" s="24">
        <v>41494.800000000003</v>
      </c>
      <c r="F66">
        <v>-14208.7</v>
      </c>
      <c r="G66" s="24">
        <v>27313.4</v>
      </c>
      <c r="H66">
        <v>35014.9</v>
      </c>
      <c r="I66" s="24">
        <v>145177.29999999999</v>
      </c>
    </row>
    <row r="67" spans="3:9">
      <c r="C67" s="24"/>
      <c r="D67" s="30" t="s">
        <v>23</v>
      </c>
      <c r="E67" s="24">
        <v>-1617.4</v>
      </c>
      <c r="F67">
        <v>-2140.8000000000002</v>
      </c>
      <c r="G67" s="24">
        <v>-3280.5</v>
      </c>
      <c r="H67">
        <v>-3834.9</v>
      </c>
      <c r="I67" s="24">
        <v>-3198.7</v>
      </c>
    </row>
    <row r="68" spans="3:9">
      <c r="C68" s="24"/>
      <c r="D68" s="30" t="s">
        <v>24</v>
      </c>
      <c r="E68" s="24">
        <v>14.2</v>
      </c>
      <c r="F68">
        <v>18.3</v>
      </c>
      <c r="G68" s="24">
        <v>40.6</v>
      </c>
      <c r="H68">
        <v>96</v>
      </c>
      <c r="I68" s="24">
        <v>90.4</v>
      </c>
    </row>
    <row r="69" spans="3:9">
      <c r="C69" s="24"/>
      <c r="D69" s="30" t="s">
        <v>25</v>
      </c>
      <c r="E69" s="24">
        <v>0</v>
      </c>
      <c r="F69">
        <v>0</v>
      </c>
      <c r="G69" s="24">
        <v>0</v>
      </c>
      <c r="H69">
        <v>0</v>
      </c>
      <c r="I69" s="24">
        <v>-1309.8</v>
      </c>
    </row>
    <row r="70" spans="3:9">
      <c r="C70" s="24"/>
      <c r="D70" s="30" t="s">
        <v>26</v>
      </c>
      <c r="E70" s="24">
        <v>0</v>
      </c>
      <c r="F70">
        <v>0</v>
      </c>
      <c r="G70" s="24">
        <v>0</v>
      </c>
      <c r="H70">
        <v>9500.7000000000007</v>
      </c>
      <c r="I70" s="24">
        <v>192</v>
      </c>
    </row>
    <row r="71" spans="3:9">
      <c r="C71" s="24"/>
      <c r="D71" s="30" t="s">
        <v>12</v>
      </c>
      <c r="E71" s="24">
        <v>483</v>
      </c>
      <c r="F71">
        <v>831</v>
      </c>
      <c r="G71" s="24">
        <v>811</v>
      </c>
      <c r="H71">
        <v>1332.4</v>
      </c>
      <c r="I71" s="24">
        <v>2187</v>
      </c>
    </row>
    <row r="72" spans="3:9">
      <c r="C72" s="24"/>
      <c r="D72" s="30" t="s">
        <v>27</v>
      </c>
      <c r="E72" s="24">
        <v>-1120.2</v>
      </c>
      <c r="F72">
        <v>-1291.5999999999999</v>
      </c>
      <c r="G72" s="24">
        <v>-2428.9</v>
      </c>
      <c r="H72">
        <v>7094.2</v>
      </c>
      <c r="I72" s="24">
        <v>-2039</v>
      </c>
    </row>
    <row r="73" spans="3:9">
      <c r="C73" s="24"/>
      <c r="D73" s="30" t="s">
        <v>28</v>
      </c>
      <c r="E73" s="24">
        <v>0</v>
      </c>
      <c r="F73">
        <v>0</v>
      </c>
      <c r="G73" s="24">
        <v>3415.8</v>
      </c>
      <c r="H73">
        <v>3192.8</v>
      </c>
      <c r="I73" s="24">
        <v>0</v>
      </c>
    </row>
    <row r="74" spans="3:9">
      <c r="C74" s="24"/>
      <c r="D74" s="30" t="s">
        <v>29</v>
      </c>
      <c r="E74" s="24">
        <v>1760.1</v>
      </c>
      <c r="F74">
        <v>10772.6</v>
      </c>
      <c r="G74" s="24">
        <v>23000</v>
      </c>
      <c r="H74">
        <v>5249.7</v>
      </c>
      <c r="I74" s="24">
        <v>6346.5</v>
      </c>
    </row>
    <row r="75" spans="3:9">
      <c r="C75" s="24"/>
      <c r="D75" s="30" t="s">
        <v>38</v>
      </c>
      <c r="E75" s="24">
        <v>-1105</v>
      </c>
      <c r="F75">
        <v>-3650</v>
      </c>
      <c r="G75" s="24">
        <v>-1207.7</v>
      </c>
      <c r="H75">
        <v>0</v>
      </c>
      <c r="I75" s="24">
        <v>0</v>
      </c>
    </row>
    <row r="76" spans="3:9">
      <c r="C76" s="24"/>
      <c r="D76" s="30" t="s">
        <v>30</v>
      </c>
      <c r="E76" s="24">
        <v>-8036.2</v>
      </c>
      <c r="F76">
        <v>44661.599999999999</v>
      </c>
      <c r="G76" s="24">
        <v>1800.7</v>
      </c>
      <c r="H76">
        <v>-22275.1</v>
      </c>
      <c r="I76" s="24">
        <v>-114429.2</v>
      </c>
    </row>
    <row r="77" spans="3:9">
      <c r="C77" s="24"/>
      <c r="D77" s="30" t="s">
        <v>31</v>
      </c>
      <c r="E77" s="24">
        <v>0</v>
      </c>
      <c r="F77">
        <v>-3592.4</v>
      </c>
      <c r="G77" s="24">
        <v>-860.5</v>
      </c>
      <c r="H77">
        <v>-8404.4</v>
      </c>
      <c r="I77" s="24">
        <v>-14826.2</v>
      </c>
    </row>
    <row r="78" spans="3:9">
      <c r="C78" s="24"/>
      <c r="D78" s="30" t="s">
        <v>32</v>
      </c>
      <c r="E78" s="24">
        <v>-738.1</v>
      </c>
      <c r="F78">
        <v>4819.2</v>
      </c>
      <c r="G78" s="24">
        <v>2394.1</v>
      </c>
      <c r="H78">
        <v>-22236.9</v>
      </c>
      <c r="I78" s="24">
        <v>-122908.9</v>
      </c>
    </row>
    <row r="79" spans="3:9">
      <c r="C79" s="24"/>
      <c r="D79" s="30" t="s">
        <v>33</v>
      </c>
      <c r="E79" s="24">
        <v>-141.80000000000001</v>
      </c>
      <c r="F79">
        <v>165.1</v>
      </c>
      <c r="G79" s="24">
        <v>43.2</v>
      </c>
      <c r="H79">
        <v>101.3</v>
      </c>
      <c r="I79" s="24">
        <v>193.8</v>
      </c>
    </row>
    <row r="80" spans="3:9">
      <c r="C80" s="24"/>
      <c r="D80" s="30" t="s">
        <v>34</v>
      </c>
      <c r="E80" s="24">
        <v>32851.699999999997</v>
      </c>
      <c r="F80">
        <v>32856.5</v>
      </c>
      <c r="G80" s="24">
        <v>4176.2</v>
      </c>
      <c r="H80">
        <v>19973.5</v>
      </c>
      <c r="I80" s="24">
        <v>20423.3</v>
      </c>
    </row>
    <row r="81" spans="3:9">
      <c r="C81" s="24"/>
      <c r="D81" s="30" t="s">
        <v>35</v>
      </c>
      <c r="E81" s="24">
        <v>86618.7</v>
      </c>
      <c r="F81">
        <v>119470.39999999999</v>
      </c>
      <c r="G81" s="24">
        <v>15538.6</v>
      </c>
      <c r="H81">
        <v>193765.1</v>
      </c>
      <c r="I81" s="24">
        <v>219147.4</v>
      </c>
    </row>
    <row r="82" spans="3:9">
      <c r="C82" s="24"/>
      <c r="D82" s="30" t="s">
        <v>37</v>
      </c>
      <c r="E82" s="24">
        <v>0</v>
      </c>
      <c r="F82">
        <v>0</v>
      </c>
      <c r="G82" s="24">
        <v>0</v>
      </c>
      <c r="H82">
        <v>5408.9</v>
      </c>
      <c r="I82" s="24">
        <v>0</v>
      </c>
    </row>
    <row r="83" spans="3:9" ht="15" thickBot="1">
      <c r="C83" s="26"/>
      <c r="D83" s="65" t="s">
        <v>36</v>
      </c>
      <c r="E83" s="26">
        <v>119470.39999999999</v>
      </c>
      <c r="F83" s="31">
        <v>152326.9</v>
      </c>
      <c r="G83" s="26">
        <v>19714.8</v>
      </c>
      <c r="H83" s="31">
        <v>219147.4</v>
      </c>
      <c r="I83" s="26">
        <v>239570.7</v>
      </c>
    </row>
    <row r="85" spans="3:9" ht="15" thickBot="1"/>
    <row r="86" spans="3:9" ht="15" thickBot="1">
      <c r="C86" s="32"/>
      <c r="D86" s="4" t="s">
        <v>2</v>
      </c>
      <c r="E86" s="3">
        <v>2021</v>
      </c>
      <c r="F86" s="5">
        <v>2022</v>
      </c>
      <c r="G86" s="3">
        <v>2023</v>
      </c>
      <c r="H86" s="6">
        <v>2024</v>
      </c>
      <c r="I86" s="3">
        <v>2025</v>
      </c>
    </row>
    <row r="87" spans="3:9">
      <c r="C87" s="24"/>
      <c r="D87" s="46" t="s">
        <v>0</v>
      </c>
      <c r="E87" s="24">
        <v>3.25</v>
      </c>
      <c r="F87">
        <v>7.75</v>
      </c>
      <c r="G87" s="24">
        <v>9.5</v>
      </c>
      <c r="H87" s="47">
        <v>9.75</v>
      </c>
      <c r="I87" s="24">
        <v>11</v>
      </c>
    </row>
    <row r="88" spans="3:9">
      <c r="C88" s="25" t="s">
        <v>116</v>
      </c>
      <c r="D88" s="46" t="s">
        <v>1</v>
      </c>
      <c r="E88" s="42">
        <v>44303</v>
      </c>
      <c r="F88" s="12">
        <v>44667</v>
      </c>
      <c r="G88" s="42">
        <v>45031</v>
      </c>
      <c r="H88" s="48">
        <v>45402</v>
      </c>
      <c r="I88" s="42">
        <v>45766</v>
      </c>
    </row>
    <row r="89" spans="3:9">
      <c r="C89" s="24"/>
      <c r="D89" s="46" t="s">
        <v>131</v>
      </c>
      <c r="E89" s="24">
        <v>56.58</v>
      </c>
      <c r="F89">
        <v>66.8</v>
      </c>
      <c r="G89" s="24">
        <v>79.25</v>
      </c>
      <c r="H89" s="47">
        <v>85.83</v>
      </c>
      <c r="I89" s="24">
        <v>88.29</v>
      </c>
    </row>
    <row r="90" spans="3:9" ht="15" thickBot="1">
      <c r="C90" s="26"/>
      <c r="D90" s="46" t="s">
        <v>116</v>
      </c>
      <c r="E90" s="24"/>
      <c r="G90" s="24"/>
      <c r="H90" s="47"/>
      <c r="I90" s="24"/>
    </row>
    <row r="91" spans="3:9">
      <c r="C91" s="1"/>
      <c r="D91" s="54"/>
      <c r="E91" s="32"/>
      <c r="F91" s="55"/>
      <c r="G91" s="32"/>
      <c r="H91" s="56"/>
      <c r="I91" s="32"/>
    </row>
    <row r="92" spans="3:9">
      <c r="C92" s="24"/>
      <c r="D92" s="49" t="s">
        <v>95</v>
      </c>
      <c r="E92" s="43">
        <v>0.188</v>
      </c>
      <c r="F92" s="39">
        <v>0.189</v>
      </c>
      <c r="G92" s="43">
        <v>0.193</v>
      </c>
      <c r="H92" s="50">
        <v>0.188</v>
      </c>
      <c r="I92" s="43">
        <v>0.19550000000000001</v>
      </c>
    </row>
    <row r="93" spans="3:9">
      <c r="C93" s="24"/>
      <c r="D93" s="46" t="s">
        <v>88</v>
      </c>
      <c r="E93" s="43">
        <v>0.16850000000000001</v>
      </c>
      <c r="F93" s="39">
        <v>0.16669999999999999</v>
      </c>
      <c r="G93" s="43">
        <v>0.16400000000000001</v>
      </c>
      <c r="H93" s="50">
        <v>0.16300000000000001</v>
      </c>
      <c r="I93" s="43">
        <v>0.17230000000000001</v>
      </c>
    </row>
    <row r="94" spans="3:9">
      <c r="C94" s="24"/>
      <c r="D94" s="46" t="s">
        <v>89</v>
      </c>
      <c r="E94" s="43">
        <v>0.17560000000000001</v>
      </c>
      <c r="F94" s="39">
        <v>0.1787</v>
      </c>
      <c r="G94" s="43">
        <v>0.17130000000000001</v>
      </c>
      <c r="H94" s="50">
        <v>0.16789999999999999</v>
      </c>
      <c r="I94" s="43">
        <v>0.1769</v>
      </c>
    </row>
    <row r="95" spans="3:9">
      <c r="C95" s="24"/>
      <c r="D95" s="46" t="s">
        <v>90</v>
      </c>
      <c r="E95" s="44">
        <v>1131143.8799999999</v>
      </c>
      <c r="F95" s="40">
        <v>1353510.85</v>
      </c>
      <c r="G95" s="44">
        <v>1586634.96</v>
      </c>
      <c r="H95" s="51">
        <v>2468028.06</v>
      </c>
      <c r="I95" s="44">
        <v>2660003.89</v>
      </c>
    </row>
    <row r="96" spans="3:9">
      <c r="C96" s="25" t="s">
        <v>147</v>
      </c>
      <c r="D96" s="46" t="s">
        <v>91</v>
      </c>
      <c r="E96" s="43">
        <v>0.104</v>
      </c>
      <c r="F96" s="39">
        <v>0.1062</v>
      </c>
      <c r="G96" s="43">
        <v>0.1004</v>
      </c>
      <c r="H96" s="50">
        <v>0.104</v>
      </c>
      <c r="I96" s="43">
        <v>0.1091</v>
      </c>
    </row>
    <row r="97" spans="3:9">
      <c r="C97" s="24"/>
      <c r="D97" s="46" t="s">
        <v>92</v>
      </c>
      <c r="E97" s="44">
        <v>64879.6</v>
      </c>
      <c r="F97" s="40">
        <v>5037.5</v>
      </c>
      <c r="G97" s="44">
        <v>86842.2</v>
      </c>
      <c r="H97" s="51">
        <v>108532.5</v>
      </c>
      <c r="I97" s="44">
        <v>122670.1</v>
      </c>
    </row>
    <row r="98" spans="3:9">
      <c r="C98" s="24"/>
      <c r="D98" s="46" t="s">
        <v>94</v>
      </c>
      <c r="E98" s="43">
        <v>4.1000000000000002E-2</v>
      </c>
      <c r="F98" s="41">
        <v>0.04</v>
      </c>
      <c r="G98" s="43">
        <v>4.1000000000000002E-2</v>
      </c>
      <c r="H98" s="50">
        <v>3.5299999999999998E-2</v>
      </c>
      <c r="I98" s="43">
        <v>3.4799999999999998E-2</v>
      </c>
    </row>
    <row r="99" spans="3:9">
      <c r="C99" s="24"/>
      <c r="D99" s="46" t="s">
        <v>132</v>
      </c>
      <c r="E99" s="43">
        <v>1.9699999999999999E-2</v>
      </c>
      <c r="F99" s="39">
        <v>2.0299999999999999E-2</v>
      </c>
      <c r="G99" s="43">
        <v>2.07E-2</v>
      </c>
      <c r="H99" s="50">
        <v>1.9800000000000002E-2</v>
      </c>
      <c r="I99" s="43">
        <v>1.9099999999999999E-2</v>
      </c>
    </row>
    <row r="100" spans="3:9">
      <c r="C100" s="24"/>
      <c r="D100" s="46" t="s">
        <v>133</v>
      </c>
      <c r="E100" s="43">
        <v>0.15540000000000001</v>
      </c>
      <c r="F100" s="39">
        <v>0.16900000000000001</v>
      </c>
      <c r="G100" s="43">
        <v>0.17399999999999999</v>
      </c>
      <c r="H100" s="50">
        <v>0.16089999999999999</v>
      </c>
      <c r="I100" s="43">
        <v>0.14599999999999999</v>
      </c>
    </row>
    <row r="101" spans="3:9" ht="15" thickBot="1">
      <c r="C101" s="26"/>
      <c r="D101" s="10" t="s">
        <v>93</v>
      </c>
      <c r="E101" s="45">
        <v>0.46100000000000002</v>
      </c>
      <c r="F101" s="52">
        <v>0.48199999999999998</v>
      </c>
      <c r="G101" s="45">
        <v>0.44400000000000001</v>
      </c>
      <c r="H101" s="53">
        <v>0.38200000000000001</v>
      </c>
      <c r="I101" s="45">
        <v>0.34799999999999998</v>
      </c>
    </row>
    <row r="103" spans="3:9" ht="15" thickBot="1">
      <c r="C103" s="7" t="s">
        <v>114</v>
      </c>
    </row>
    <row r="104" spans="3:9" ht="15" thickBot="1">
      <c r="C104" s="32"/>
      <c r="D104" s="36" t="s">
        <v>96</v>
      </c>
      <c r="E104" s="37" t="s">
        <v>101</v>
      </c>
      <c r="F104" s="38" t="s">
        <v>100</v>
      </c>
      <c r="G104" s="37" t="s">
        <v>99</v>
      </c>
      <c r="H104" s="38" t="s">
        <v>98</v>
      </c>
      <c r="I104" s="37" t="s">
        <v>97</v>
      </c>
    </row>
    <row r="105" spans="3:9">
      <c r="C105" s="25" t="s">
        <v>111</v>
      </c>
      <c r="D105" s="27" t="s">
        <v>110</v>
      </c>
      <c r="E105" s="22"/>
      <c r="F105" s="20"/>
      <c r="G105" s="22"/>
      <c r="H105" s="20"/>
      <c r="I105" s="22"/>
    </row>
    <row r="106" spans="3:9">
      <c r="C106" s="24"/>
      <c r="D106" s="28" t="s">
        <v>102</v>
      </c>
      <c r="E106" s="23">
        <v>3870.19</v>
      </c>
      <c r="F106" s="21">
        <v>5550.83</v>
      </c>
      <c r="G106" s="23">
        <v>3097.8595999999998</v>
      </c>
      <c r="H106" s="21">
        <v>3704.7390999999998</v>
      </c>
      <c r="I106" s="23">
        <v>4149.8541999999998</v>
      </c>
    </row>
    <row r="107" spans="3:9">
      <c r="C107" s="24"/>
      <c r="D107" s="28" t="s">
        <v>103</v>
      </c>
      <c r="E107" s="23">
        <v>207206.05</v>
      </c>
      <c r="F107" s="21">
        <v>232654.39</v>
      </c>
      <c r="G107" s="23">
        <v>270398.28860000003</v>
      </c>
      <c r="H107" s="21">
        <v>30631.095600000001</v>
      </c>
      <c r="I107" s="23">
        <v>30994.3783</v>
      </c>
    </row>
    <row r="108" spans="3:9">
      <c r="C108" s="24"/>
      <c r="D108" s="29" t="s">
        <v>104</v>
      </c>
      <c r="E108" s="23">
        <v>211076.24</v>
      </c>
      <c r="F108" s="21">
        <v>238205.22</v>
      </c>
      <c r="G108" s="23">
        <v>273496.1482</v>
      </c>
      <c r="H108" s="21">
        <v>34335.834699999999</v>
      </c>
      <c r="I108" s="23">
        <v>31144.232499999998</v>
      </c>
    </row>
    <row r="109" spans="3:9">
      <c r="C109" s="24"/>
      <c r="D109" s="27" t="s">
        <v>105</v>
      </c>
      <c r="E109" s="23">
        <v>403492.47</v>
      </c>
      <c r="F109" s="21">
        <v>511737.21</v>
      </c>
      <c r="G109" s="23">
        <v>56249.272799999999</v>
      </c>
      <c r="H109" s="21">
        <v>59874.729229999997</v>
      </c>
      <c r="I109" s="23">
        <v>63046.660609999999</v>
      </c>
    </row>
    <row r="110" spans="3:9">
      <c r="C110" s="24"/>
      <c r="D110" s="27" t="s">
        <v>106</v>
      </c>
      <c r="E110" s="22"/>
      <c r="F110" s="20"/>
      <c r="G110" s="22"/>
      <c r="H110" s="20"/>
      <c r="I110" s="22"/>
    </row>
    <row r="111" spans="3:9">
      <c r="C111" s="24"/>
      <c r="D111" s="28" t="s">
        <v>102</v>
      </c>
      <c r="E111" s="23">
        <v>10645.84</v>
      </c>
      <c r="F111" s="21">
        <v>9801.89</v>
      </c>
      <c r="G111" s="23">
        <v>24091.109799999998</v>
      </c>
      <c r="H111" s="21">
        <v>17767.078399999999</v>
      </c>
      <c r="I111" s="23">
        <v>32599.285800000001</v>
      </c>
    </row>
    <row r="112" spans="3:9">
      <c r="C112" s="24"/>
      <c r="D112" s="28" t="s">
        <v>103</v>
      </c>
      <c r="E112" s="23">
        <v>708506.32</v>
      </c>
      <c r="F112" s="21">
        <v>798258.71</v>
      </c>
      <c r="G112" s="23">
        <v>1023314.6603</v>
      </c>
      <c r="H112" s="21">
        <v>1453256.2102000001</v>
      </c>
      <c r="I112" s="23">
        <v>1737555.3668</v>
      </c>
    </row>
    <row r="113" spans="3:9">
      <c r="C113" s="24"/>
      <c r="D113" s="29" t="s">
        <v>107</v>
      </c>
      <c r="E113" s="23">
        <v>719152.16</v>
      </c>
      <c r="F113" s="21">
        <v>808060.6</v>
      </c>
      <c r="G113" s="23">
        <v>1047405.7701</v>
      </c>
      <c r="H113" s="21">
        <v>1471023.2886000001</v>
      </c>
      <c r="I113" s="23">
        <v>1770154.6525999999</v>
      </c>
    </row>
    <row r="114" spans="3:9" ht="15" thickBot="1">
      <c r="C114" s="26"/>
      <c r="D114" s="29" t="s">
        <v>108</v>
      </c>
      <c r="E114" s="23">
        <v>1333720.8700000001</v>
      </c>
      <c r="F114" s="21">
        <v>1558003.03</v>
      </c>
      <c r="G114" s="23">
        <v>1883394.6462999999</v>
      </c>
      <c r="H114" s="21">
        <v>2379786.2763999999</v>
      </c>
      <c r="I114" s="23">
        <v>2714714.8958999999</v>
      </c>
    </row>
    <row r="115" spans="3:9">
      <c r="C115" s="1" t="s">
        <v>113</v>
      </c>
      <c r="D115" s="27" t="s">
        <v>112</v>
      </c>
      <c r="E115" s="23">
        <v>1327832.43</v>
      </c>
      <c r="F115" s="21">
        <v>1547880.73</v>
      </c>
      <c r="G115" s="23">
        <v>1866151.6436999999</v>
      </c>
      <c r="H115" s="21">
        <v>2357593.7440999998</v>
      </c>
      <c r="I115" s="23">
        <v>2690609.5754999998</v>
      </c>
    </row>
    <row r="116" spans="3:9" ht="15" thickBot="1">
      <c r="C116" s="24"/>
      <c r="D116" s="27" t="s">
        <v>109</v>
      </c>
      <c r="E116" s="23">
        <v>5888.44</v>
      </c>
      <c r="F116" s="21">
        <v>10122.299999999999</v>
      </c>
      <c r="G116" s="23">
        <v>17243.0026</v>
      </c>
      <c r="H116" s="21">
        <v>22192.532299999999</v>
      </c>
      <c r="I116" s="23">
        <v>24105.320400000001</v>
      </c>
    </row>
    <row r="117" spans="3:9" ht="15" thickBot="1">
      <c r="C117" s="26"/>
      <c r="D117" s="33" t="s">
        <v>140</v>
      </c>
      <c r="E117" s="34">
        <v>1333720.8700000001</v>
      </c>
      <c r="F117" s="35">
        <v>1558003.03</v>
      </c>
      <c r="G117" s="34">
        <v>1883394.6462999999</v>
      </c>
      <c r="H117" s="35">
        <v>2379786.2763999999</v>
      </c>
      <c r="I117" s="34">
        <v>2714714.8958999999</v>
      </c>
    </row>
    <row r="118" spans="3:9">
      <c r="D118" s="30"/>
      <c r="E118" s="24"/>
      <c r="G118" s="24"/>
      <c r="I118" s="24"/>
    </row>
    <row r="119" spans="3:9" ht="15" thickBot="1">
      <c r="C119" s="7" t="s">
        <v>115</v>
      </c>
      <c r="D119" s="30"/>
      <c r="E119" s="24"/>
      <c r="G119" s="24"/>
      <c r="I119" s="24"/>
    </row>
    <row r="120" spans="3:9">
      <c r="C120" s="227" t="s">
        <v>39</v>
      </c>
      <c r="D120" s="30" t="s">
        <v>40</v>
      </c>
      <c r="E120" s="24">
        <v>34542.800000000003</v>
      </c>
      <c r="F120">
        <v>29052.42</v>
      </c>
      <c r="G120" s="24">
        <v>20720.04</v>
      </c>
      <c r="H120">
        <v>24032.92</v>
      </c>
      <c r="I120" s="24">
        <v>34964.61</v>
      </c>
    </row>
    <row r="121" spans="3:9">
      <c r="C121" s="228"/>
      <c r="D121" s="30" t="s">
        <v>41</v>
      </c>
      <c r="E121" s="24">
        <v>255977.8</v>
      </c>
      <c r="F121">
        <v>433411.25</v>
      </c>
      <c r="G121" s="24">
        <v>557132.92000000004</v>
      </c>
      <c r="H121">
        <v>627239.54</v>
      </c>
      <c r="I121" s="24">
        <v>709205.25</v>
      </c>
    </row>
    <row r="122" spans="3:9">
      <c r="C122" s="228"/>
      <c r="D122" s="30" t="s">
        <v>42</v>
      </c>
      <c r="E122" s="24">
        <v>894762.9</v>
      </c>
      <c r="F122">
        <v>958478.61</v>
      </c>
      <c r="G122" s="24">
        <v>1084096.33</v>
      </c>
      <c r="H122">
        <v>1914618.95</v>
      </c>
      <c r="I122" s="24">
        <v>1875438.75</v>
      </c>
    </row>
    <row r="123" spans="3:9" ht="15" thickBot="1">
      <c r="C123" s="229"/>
      <c r="D123" s="30" t="s">
        <v>43</v>
      </c>
      <c r="E123" s="24">
        <v>1185283.5</v>
      </c>
      <c r="F123">
        <v>1420942.28</v>
      </c>
      <c r="G123" s="24">
        <v>1661949.29</v>
      </c>
      <c r="H123">
        <v>2565891.41</v>
      </c>
      <c r="I123" s="24">
        <v>2619608.62</v>
      </c>
    </row>
    <row r="124" spans="3:9">
      <c r="C124" s="227" t="s">
        <v>44</v>
      </c>
      <c r="D124" s="30" t="s">
        <v>45</v>
      </c>
      <c r="E124" s="24">
        <v>800068.6</v>
      </c>
      <c r="F124">
        <v>940971.29</v>
      </c>
      <c r="G124" s="24">
        <v>1119882.71</v>
      </c>
      <c r="H124">
        <v>1973108.03</v>
      </c>
      <c r="I124" s="24">
        <v>2006410</v>
      </c>
    </row>
    <row r="125" spans="3:9">
      <c r="C125" s="228"/>
      <c r="D125" s="30" t="s">
        <v>46</v>
      </c>
      <c r="E125" s="24">
        <v>39375.800000000003</v>
      </c>
      <c r="F125">
        <v>48387.03</v>
      </c>
      <c r="G125" s="24">
        <v>45453.63</v>
      </c>
      <c r="H125">
        <v>41598.519999999997</v>
      </c>
      <c r="I125" s="24">
        <v>60543.4</v>
      </c>
    </row>
    <row r="126" spans="3:9">
      <c r="C126" s="228"/>
      <c r="D126" s="30" t="s">
        <v>47</v>
      </c>
      <c r="E126" s="24">
        <v>345839.1</v>
      </c>
      <c r="F126">
        <v>431583.96</v>
      </c>
      <c r="G126" s="24">
        <v>449612.95</v>
      </c>
      <c r="H126">
        <v>551184.86</v>
      </c>
      <c r="I126" s="24">
        <v>552655.22</v>
      </c>
    </row>
    <row r="127" spans="3:9" ht="15" thickBot="1">
      <c r="C127" s="229"/>
      <c r="D127" s="30" t="s">
        <v>48</v>
      </c>
      <c r="E127" s="24">
        <v>1185283.5</v>
      </c>
      <c r="F127">
        <v>1420942.28</v>
      </c>
      <c r="G127" s="24">
        <v>1661949.29</v>
      </c>
      <c r="H127">
        <v>2565891.41</v>
      </c>
      <c r="I127" s="24">
        <v>2619608.62</v>
      </c>
    </row>
    <row r="128" spans="3:9">
      <c r="C128" s="230" t="s">
        <v>49</v>
      </c>
      <c r="D128" s="30" t="s">
        <v>50</v>
      </c>
      <c r="E128" s="24">
        <v>258611.20000000001</v>
      </c>
      <c r="F128">
        <v>390181.51</v>
      </c>
      <c r="G128" s="24">
        <v>534388.31999999995</v>
      </c>
      <c r="H128">
        <v>780715.25</v>
      </c>
      <c r="I128" s="24">
        <v>878598.87</v>
      </c>
    </row>
    <row r="129" spans="3:9">
      <c r="C129" s="230"/>
      <c r="D129" s="30" t="s">
        <v>51</v>
      </c>
      <c r="E129" s="24">
        <v>119908.3</v>
      </c>
      <c r="F129">
        <v>135693.81</v>
      </c>
      <c r="G129" s="24">
        <v>135907.74</v>
      </c>
      <c r="H129">
        <v>140554.70000000001</v>
      </c>
      <c r="I129" s="24">
        <v>121469.63</v>
      </c>
    </row>
    <row r="130" spans="3:9">
      <c r="C130" s="230"/>
      <c r="D130" s="30" t="s">
        <v>52</v>
      </c>
      <c r="E130" s="24">
        <v>8538</v>
      </c>
      <c r="F130">
        <v>6886.3</v>
      </c>
      <c r="G130" s="24">
        <v>6403.88</v>
      </c>
      <c r="H130">
        <v>2567.12</v>
      </c>
      <c r="I130" s="24">
        <v>2122.41</v>
      </c>
    </row>
    <row r="131" spans="3:9">
      <c r="C131" s="230"/>
      <c r="D131" s="30" t="s">
        <v>53</v>
      </c>
      <c r="E131" s="24">
        <v>798226.1</v>
      </c>
      <c r="F131">
        <v>845365.56</v>
      </c>
      <c r="G131" s="24">
        <v>943500.41</v>
      </c>
      <c r="H131">
        <v>1603405.2</v>
      </c>
      <c r="I131" s="24">
        <v>1571259.11</v>
      </c>
    </row>
    <row r="132" spans="3:9" ht="15" thickBot="1">
      <c r="C132" s="230"/>
      <c r="D132" s="30" t="s">
        <v>54</v>
      </c>
      <c r="E132" s="25">
        <v>1185283.5</v>
      </c>
      <c r="F132" s="7">
        <v>1378127.18</v>
      </c>
      <c r="G132" s="25">
        <v>1620200.35</v>
      </c>
      <c r="H132" s="7">
        <v>2527242.27</v>
      </c>
      <c r="I132" s="25">
        <v>2573460.02</v>
      </c>
    </row>
    <row r="133" spans="3:9">
      <c r="C133" s="231" t="s">
        <v>55</v>
      </c>
      <c r="D133" t="s">
        <v>56</v>
      </c>
      <c r="E133" s="24">
        <v>0</v>
      </c>
      <c r="F133">
        <v>4909.88</v>
      </c>
      <c r="G133" s="24">
        <v>2296.29</v>
      </c>
      <c r="H133">
        <v>2756.16</v>
      </c>
      <c r="I133" s="24">
        <v>2769.89</v>
      </c>
    </row>
    <row r="134" spans="3:9">
      <c r="C134" s="230"/>
      <c r="D134" t="s">
        <v>40</v>
      </c>
      <c r="E134" s="24">
        <v>0</v>
      </c>
      <c r="F134">
        <v>254.83</v>
      </c>
      <c r="G134" s="24">
        <v>604.09</v>
      </c>
      <c r="H134">
        <v>714.86</v>
      </c>
      <c r="I134" s="24">
        <v>544.1</v>
      </c>
    </row>
    <row r="135" spans="3:9">
      <c r="C135" s="230"/>
      <c r="D135" t="s">
        <v>57</v>
      </c>
      <c r="E135" s="24">
        <v>0</v>
      </c>
      <c r="F135">
        <v>541.89</v>
      </c>
      <c r="G135" s="24">
        <v>1988.24</v>
      </c>
      <c r="H135">
        <v>1180.49</v>
      </c>
      <c r="I135" s="24">
        <v>581.73</v>
      </c>
    </row>
    <row r="136" spans="3:9">
      <c r="C136" s="230"/>
      <c r="D136" t="s">
        <v>53</v>
      </c>
      <c r="E136" s="24">
        <v>0</v>
      </c>
      <c r="F136">
        <v>37108.5</v>
      </c>
      <c r="G136" s="24">
        <v>36860.32</v>
      </c>
      <c r="H136">
        <v>33997.620000000003</v>
      </c>
      <c r="I136" s="24">
        <v>42262.879999999997</v>
      </c>
    </row>
    <row r="137" spans="3:9" ht="15" thickBot="1">
      <c r="C137" s="230"/>
      <c r="D137" t="s">
        <v>58</v>
      </c>
      <c r="E137" s="24">
        <v>0</v>
      </c>
      <c r="F137">
        <v>42815.1</v>
      </c>
      <c r="G137" s="24">
        <v>41748.94</v>
      </c>
      <c r="H137">
        <v>38649.129999999997</v>
      </c>
      <c r="I137" s="24">
        <v>46158.6</v>
      </c>
    </row>
    <row r="138" spans="3:9" ht="15" thickBot="1">
      <c r="C138" s="2"/>
      <c r="D138" s="4" t="s">
        <v>139</v>
      </c>
      <c r="E138" s="13">
        <f>E132+E137</f>
        <v>1185283.5</v>
      </c>
      <c r="F138" s="17">
        <f t="shared" ref="F138:I138" si="0">F132+F137</f>
        <v>1420942.28</v>
      </c>
      <c r="G138" s="13">
        <f t="shared" si="0"/>
        <v>1661949.29</v>
      </c>
      <c r="H138" s="17">
        <f t="shared" si="0"/>
        <v>2565891.4</v>
      </c>
      <c r="I138" s="13">
        <f t="shared" si="0"/>
        <v>2619618.62</v>
      </c>
    </row>
    <row r="139" spans="3:9">
      <c r="D139" s="32"/>
      <c r="E139" s="32"/>
      <c r="F139" s="32"/>
      <c r="G139" s="32"/>
      <c r="H139" s="55"/>
      <c r="I139" s="32"/>
    </row>
    <row r="140" spans="3:9">
      <c r="D140" s="24"/>
      <c r="E140" s="24"/>
      <c r="F140" s="24"/>
      <c r="G140" s="24"/>
      <c r="I140" s="24"/>
    </row>
    <row r="141" spans="3:9">
      <c r="D141" s="116" t="s">
        <v>197</v>
      </c>
      <c r="E141" s="117">
        <v>135487.3236</v>
      </c>
      <c r="F141" s="117">
        <v>184817.20730000001</v>
      </c>
      <c r="G141" s="44">
        <v>256548.66</v>
      </c>
      <c r="H141" s="40">
        <v>730615.46</v>
      </c>
      <c r="I141" s="44">
        <v>547930.89260000002</v>
      </c>
    </row>
    <row r="142" spans="3:9">
      <c r="D142" s="116" t="s">
        <v>198</v>
      </c>
      <c r="E142" s="44">
        <v>5822.5907999999999</v>
      </c>
      <c r="F142" s="44">
        <v>6818.9380000000001</v>
      </c>
      <c r="G142" s="44">
        <v>12796.49</v>
      </c>
      <c r="H142" s="40">
        <v>50244.76</v>
      </c>
      <c r="I142" s="44">
        <v>52469.757400000002</v>
      </c>
    </row>
    <row r="143" spans="3:9">
      <c r="D143" s="116" t="s">
        <v>306</v>
      </c>
      <c r="E143" s="218"/>
      <c r="F143" s="44">
        <f>AVERAGE(E141:F141)</f>
        <v>160152.26545000001</v>
      </c>
      <c r="G143" s="44">
        <f t="shared" ref="G143:I143" si="1">AVERAGE(F141:G141)</f>
        <v>220682.93365000002</v>
      </c>
      <c r="H143" s="44">
        <f t="shared" si="1"/>
        <v>493582.06</v>
      </c>
      <c r="I143" s="44">
        <f t="shared" si="1"/>
        <v>639273.17629999993</v>
      </c>
    </row>
    <row r="144" spans="3:9">
      <c r="D144" s="116" t="s">
        <v>199</v>
      </c>
      <c r="E144" s="68">
        <f t="shared" ref="E144" si="2">E142/E141</f>
        <v>4.2975170261611101E-2</v>
      </c>
      <c r="F144" s="74">
        <f>F142/F143</f>
        <v>4.2577842909933057E-2</v>
      </c>
      <c r="G144" s="74">
        <f t="shared" ref="G144:I144" si="3">G142/G143</f>
        <v>5.7985861381990918E-2</v>
      </c>
      <c r="H144" s="74">
        <f t="shared" si="3"/>
        <v>0.10179616333705484</v>
      </c>
      <c r="I144" s="74">
        <f t="shared" si="3"/>
        <v>8.2077207906150043E-2</v>
      </c>
    </row>
    <row r="145" spans="1:14" ht="15" thickBot="1">
      <c r="D145" s="26"/>
      <c r="E145" s="26"/>
      <c r="F145" s="26"/>
      <c r="G145" s="26"/>
      <c r="H145" s="31"/>
      <c r="I145" s="26"/>
    </row>
    <row r="146" spans="1:14">
      <c r="K146" s="15"/>
      <c r="L146" s="15"/>
      <c r="M146" s="15"/>
      <c r="N146" s="15"/>
    </row>
    <row r="147" spans="1:14">
      <c r="K147" s="97"/>
      <c r="N147" s="115"/>
    </row>
    <row r="148" spans="1:14">
      <c r="K148" s="97"/>
      <c r="N148" s="115"/>
    </row>
    <row r="149" spans="1:14">
      <c r="K149" s="97"/>
      <c r="N149" s="115"/>
    </row>
    <row r="150" spans="1:14" ht="15" thickBot="1">
      <c r="K150" s="97"/>
      <c r="N150" s="97"/>
    </row>
    <row r="151" spans="1:14" ht="15" thickBot="1">
      <c r="A151" s="232" t="s">
        <v>200</v>
      </c>
      <c r="B151" s="233"/>
      <c r="C151" s="128" t="s">
        <v>240</v>
      </c>
      <c r="D151" s="147" t="s">
        <v>115</v>
      </c>
      <c r="E151" s="128" t="s">
        <v>241</v>
      </c>
      <c r="F151" s="147" t="s">
        <v>242</v>
      </c>
      <c r="G151" s="128" t="s">
        <v>132</v>
      </c>
      <c r="H151" s="147" t="s">
        <v>133</v>
      </c>
      <c r="I151" s="193" t="s">
        <v>88</v>
      </c>
      <c r="J151" s="233" t="s">
        <v>243</v>
      </c>
      <c r="K151" s="233"/>
      <c r="L151" s="128" t="s">
        <v>244</v>
      </c>
      <c r="M151" s="147" t="s">
        <v>0</v>
      </c>
      <c r="N151" s="194" t="s">
        <v>131</v>
      </c>
    </row>
    <row r="152" spans="1:14">
      <c r="A152" s="235">
        <v>2021</v>
      </c>
      <c r="B152" s="236"/>
      <c r="C152" s="117">
        <f>E117</f>
        <v>1333720.8700000001</v>
      </c>
      <c r="D152" s="184">
        <f>E138</f>
        <v>1185283.5</v>
      </c>
      <c r="E152" s="189">
        <f>HLOOKUP(A152,Ratios!$D$8:$H$31,16,0)</f>
        <v>0.46100000000000002</v>
      </c>
      <c r="F152" s="185">
        <f>HLOOKUP(A152,Ratios!$D$8:$H$14,3,FALSE)</f>
        <v>4.1000000000000002E-2</v>
      </c>
      <c r="G152" s="191">
        <f>HLOOKUP(A152,Ratios!$D$8:$H$14,4,FALSE)</f>
        <v>1.9699999999999999E-2</v>
      </c>
      <c r="H152" s="185">
        <f>HLOOKUP(A152,Ratios!$D$8:$H$14,5,FALSE)</f>
        <v>0.15540000000000001</v>
      </c>
      <c r="I152" s="191">
        <f>HLOOKUP(A152,Ratios!$C$8:$H$31,10,0)</f>
        <v>0.16850000000000001</v>
      </c>
      <c r="J152" s="234">
        <f>HLOOKUP(A152,Ratios!$C$8:$H$21,11,0)</f>
        <v>0.17560000000000001</v>
      </c>
      <c r="K152" s="234"/>
      <c r="L152" s="191">
        <f>HLOOKUP(A152,Ratios!$D$8:$H$20,13,0)</f>
        <v>0.188</v>
      </c>
      <c r="M152" s="165">
        <f>HLOOKUP(A152,Ratios!$D$8:$H$28,21,0)</f>
        <v>3.25</v>
      </c>
      <c r="N152" s="24">
        <f>HLOOKUP(A152,Ratios!$D$8:$H$29,22,0)</f>
        <v>56.58</v>
      </c>
    </row>
    <row r="153" spans="1:14">
      <c r="A153" s="235">
        <v>2022</v>
      </c>
      <c r="B153" s="236"/>
      <c r="C153" s="117">
        <f>F117</f>
        <v>1558003.03</v>
      </c>
      <c r="D153" s="184">
        <f>F138</f>
        <v>1420942.28</v>
      </c>
      <c r="E153" s="189">
        <f>HLOOKUP(A153,Ratios!$D$8:$H$31,16,0)</f>
        <v>0.48199999999999998</v>
      </c>
      <c r="F153" s="185">
        <f>HLOOKUP(A153,Ratios!$D$8:$H$14,3,FALSE)</f>
        <v>0.04</v>
      </c>
      <c r="G153" s="191">
        <f>HLOOKUP(A153,Ratios!$D$8:$H$14,4,FALSE)</f>
        <v>2.0299999999999999E-2</v>
      </c>
      <c r="H153" s="185">
        <f>HLOOKUP(A153,Ratios!$D$8:$H$14,5,FALSE)</f>
        <v>0.16900000000000001</v>
      </c>
      <c r="I153" s="191">
        <f>HLOOKUP(A153,Ratios!$C$8:$H$31,10,0)</f>
        <v>0.16669999999999999</v>
      </c>
      <c r="J153" s="234">
        <f>HLOOKUP(A153,Ratios!$C$8:$H$21,11,0)</f>
        <v>0.1787</v>
      </c>
      <c r="K153" s="234"/>
      <c r="L153" s="191">
        <f>HLOOKUP(A153,Ratios!$D$8:$H$20,13,0)</f>
        <v>0.189</v>
      </c>
      <c r="M153" s="165">
        <f>HLOOKUP(A153,Ratios!$D$8:$H$28,21,0)</f>
        <v>7.75</v>
      </c>
      <c r="N153" s="24">
        <f>HLOOKUP(A153,Ratios!$D$8:$H$29,22,0)</f>
        <v>66.8</v>
      </c>
    </row>
    <row r="154" spans="1:14">
      <c r="A154" s="235">
        <v>2023</v>
      </c>
      <c r="B154" s="236"/>
      <c r="C154" s="117">
        <f>G117</f>
        <v>1883394.6462999999</v>
      </c>
      <c r="D154" s="184">
        <f>G138</f>
        <v>1661949.29</v>
      </c>
      <c r="E154" s="189">
        <f>HLOOKUP(A154,Ratios!$D$8:$H$31,16,0)</f>
        <v>0.44400000000000001</v>
      </c>
      <c r="F154" s="185">
        <f>HLOOKUP(A154,Ratios!$D$8:$H$14,3,FALSE)</f>
        <v>4.1000000000000002E-2</v>
      </c>
      <c r="G154" s="191">
        <f>HLOOKUP(A154,Ratios!$D$8:$H$14,4,FALSE)</f>
        <v>2.07E-2</v>
      </c>
      <c r="H154" s="185">
        <f>HLOOKUP(A154,Ratios!$D$8:$H$14,5,FALSE)</f>
        <v>0.17399999999999999</v>
      </c>
      <c r="I154" s="191">
        <f>HLOOKUP(A154,Ratios!$C$8:$H$31,10,0)</f>
        <v>0.16400000000000001</v>
      </c>
      <c r="J154" s="234">
        <f>HLOOKUP(A154,Ratios!$C$8:$H$21,11,0)</f>
        <v>0.17130000000000001</v>
      </c>
      <c r="K154" s="234"/>
      <c r="L154" s="191">
        <f>HLOOKUP(A154,Ratios!$D$8:$H$20,13,0)</f>
        <v>0.193</v>
      </c>
      <c r="M154" s="165">
        <f>HLOOKUP(A154,Ratios!$D$8:$H$28,21,0)</f>
        <v>9.5</v>
      </c>
      <c r="N154" s="24">
        <f>HLOOKUP(A154,Ratios!$D$8:$H$29,22,0)</f>
        <v>79.25</v>
      </c>
    </row>
    <row r="155" spans="1:14">
      <c r="A155" s="235">
        <v>2024</v>
      </c>
      <c r="B155" s="236"/>
      <c r="C155" s="117">
        <f>H117</f>
        <v>2379786.2763999999</v>
      </c>
      <c r="D155" s="184">
        <f>H138</f>
        <v>2565891.4</v>
      </c>
      <c r="E155" s="189">
        <f>HLOOKUP(A155,Ratios!$D$8:$H$31,16,0)</f>
        <v>0.38200000000000001</v>
      </c>
      <c r="F155" s="185">
        <f>HLOOKUP(A155,Ratios!$D$8:$H$14,3,FALSE)</f>
        <v>3.5299999999999998E-2</v>
      </c>
      <c r="G155" s="191">
        <f>HLOOKUP(A155,Ratios!$D$8:$H$14,4,FALSE)</f>
        <v>1.9800000000000002E-2</v>
      </c>
      <c r="H155" s="185">
        <f>HLOOKUP(A155,Ratios!$D$8:$H$14,5,FALSE)</f>
        <v>0.16089999999999999</v>
      </c>
      <c r="I155" s="191">
        <f>HLOOKUP(A155,Ratios!$C$8:$H$31,10,0)</f>
        <v>0.16300000000000001</v>
      </c>
      <c r="J155" s="234">
        <f>HLOOKUP(A155,Ratios!$C$8:$H$21,11,0)</f>
        <v>0.16789999999999999</v>
      </c>
      <c r="K155" s="234"/>
      <c r="L155" s="191">
        <f>HLOOKUP(A155,Ratios!$D$8:$H$20,13,0)</f>
        <v>0.188</v>
      </c>
      <c r="M155" s="165">
        <f>HLOOKUP(A155,Ratios!$D$8:$H$28,21,0)</f>
        <v>9.75</v>
      </c>
      <c r="N155" s="24">
        <f>HLOOKUP(A155,Ratios!$D$8:$H$29,22,0)</f>
        <v>85.83</v>
      </c>
    </row>
    <row r="156" spans="1:14" ht="15" thickBot="1">
      <c r="A156" s="238">
        <v>2025</v>
      </c>
      <c r="B156" s="239"/>
      <c r="C156" s="188">
        <f>I117</f>
        <v>2714714.8958999999</v>
      </c>
      <c r="D156" s="186">
        <f>I138</f>
        <v>2619618.62</v>
      </c>
      <c r="E156" s="190">
        <f>HLOOKUP(A156,Ratios!$D$8:$H$31,16,0)</f>
        <v>0.34799999999999998</v>
      </c>
      <c r="F156" s="187">
        <f>HLOOKUP(A156,Ratios!$D$8:$H$14,3,FALSE)</f>
        <v>3.4799999999999998E-2</v>
      </c>
      <c r="G156" s="192">
        <f>HLOOKUP(A156,Ratios!$D$8:$H$14,4,FALSE)</f>
        <v>1.9099999999999999E-2</v>
      </c>
      <c r="H156" s="187">
        <f>HLOOKUP(A156,Ratios!$D$8:$H$14,5,FALSE)</f>
        <v>0.14599999999999999</v>
      </c>
      <c r="I156" s="192">
        <f>HLOOKUP(A156,Ratios!$C$8:$H$31,10,0)</f>
        <v>0.17230000000000001</v>
      </c>
      <c r="J156" s="237">
        <f>HLOOKUP(A156,Ratios!$C$8:$H$21,11,0)</f>
        <v>0.1769</v>
      </c>
      <c r="K156" s="237"/>
      <c r="L156" s="192">
        <f>HLOOKUP(A156,Ratios!$D$8:$H$20,13,0)</f>
        <v>0.19550000000000001</v>
      </c>
      <c r="M156" s="166">
        <f>HLOOKUP(A156,Ratios!$D$8:$H$28,21,0)</f>
        <v>11</v>
      </c>
      <c r="N156" s="26">
        <f>HLOOKUP(A156,Ratios!$D$8:$H$29,22,0)</f>
        <v>88.29</v>
      </c>
    </row>
  </sheetData>
  <mergeCells count="17">
    <mergeCell ref="J156:K156"/>
    <mergeCell ref="A153:B153"/>
    <mergeCell ref="A154:B154"/>
    <mergeCell ref="A155:B155"/>
    <mergeCell ref="A156:B156"/>
    <mergeCell ref="A151:B151"/>
    <mergeCell ref="J151:K151"/>
    <mergeCell ref="J153:K153"/>
    <mergeCell ref="J152:K152"/>
    <mergeCell ref="J155:K155"/>
    <mergeCell ref="J154:K154"/>
    <mergeCell ref="A152:B152"/>
    <mergeCell ref="C120:C123"/>
    <mergeCell ref="C124:C127"/>
    <mergeCell ref="C128:C132"/>
    <mergeCell ref="C133:C137"/>
    <mergeCell ref="C1:R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ABAC66-A258-447A-AAD6-523B1A59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Sensitivity</vt:lpstr>
      <vt:lpstr>DCF</vt:lpstr>
      <vt:lpstr>Project Undertaking</vt:lpstr>
      <vt:lpstr>WACC</vt:lpstr>
      <vt:lpstr>BETA Calculation</vt:lpstr>
      <vt:lpstr>Ratios</vt:lpstr>
      <vt:lpstr>Raw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Mayuresh Jadhav</dc:creator>
  <cp:lastModifiedBy>Mayuresh Jadhav</cp:lastModifiedBy>
  <dcterms:created xsi:type="dcterms:W3CDTF">2025-11-27T10:16:53Z</dcterms:created>
  <dcterms:modified xsi:type="dcterms:W3CDTF">2025-12-05T07:53:54Z</dcterms:modified>
</cp:coreProperties>
</file>